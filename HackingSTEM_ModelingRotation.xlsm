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7.xml" ContentType="application/vnd.openxmlformats-officedocument.spreadsheetml.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filterPrivacy="1" codeName="ThisWorkbook" defaultThemeVersion="166925"/>
  <xr:revisionPtr revIDLastSave="0" documentId="13_ncr:1_{5D3FB7CF-B89A-42EA-AA73-9B1815A6438B}" xr6:coauthVersionLast="47" xr6:coauthVersionMax="47" xr10:uidLastSave="{00000000-0000-0000-0000-000000000000}"/>
  <bookViews>
    <workbookView xWindow="-120" yWindow="-120" windowWidth="29040" windowHeight="15840" firstSheet="1" activeTab="1" xr2:uid="{48BAC0D7-5AE2-4151-B210-1D4DF0BCAF60}"/>
  </bookViews>
  <sheets>
    <sheet name="XYZ Rotation Backend" sheetId="1" state="hidden" r:id="rId1"/>
    <sheet name="Instructions" sheetId="8" r:id="rId2"/>
    <sheet name="Polygon Rotation" sheetId="6" r:id="rId3"/>
    <sheet name="TT" sheetId="9" state="hidden" r:id="rId4"/>
    <sheet name="3-axis rotation" sheetId="5" r:id="rId5"/>
    <sheet name="Data In" sheetId="2" r:id="rId6"/>
    <sheet name="Data Out" sheetId="3" r:id="rId7"/>
    <sheet name="Settings" sheetId="4" r:id="rId8"/>
  </sheets>
  <functionGroups builtInGroupCount="19"/>
  <externalReferences>
    <externalReference r:id="rId9"/>
    <externalReference r:id="rId10"/>
  </externalReferences>
  <definedNames>
    <definedName name="BackgroundAcceleration">'[1]Background Graphing'!$C$5</definedName>
    <definedName name="BackgroundCycle">'[1]Background Graphing'!$C$4</definedName>
    <definedName name="BackgroundVelocity">'[1]Background Graphing'!$C$6</definedName>
    <definedName name="BackgroundY">'[1]Background Graphing'!$C$2</definedName>
    <definedName name="BackgroundZ">'[1]Background Graphing'!$C$3</definedName>
    <definedName name="Chart_XRotationVals">[1]Setup!$F$23:$H$23</definedName>
    <definedName name="Chart_YRotationVals">[1]Setup!$F$24:$H$24</definedName>
    <definedName name="Cos_Xrot">[1]Setup!$F$22</definedName>
    <definedName name="Cos_Yrot">[1]Setup!$G$22</definedName>
    <definedName name="Cos_Zrot">[1]Setup!$H$22</definedName>
    <definedName name="CreatureHit">[1]Setup!$B$26</definedName>
    <definedName name="DataChannelCountDefault">Settings!$B$8</definedName>
    <definedName name="DataChannelCountSetting">Settings!$C$8</definedName>
    <definedName name="DataDelayDefault">Settings!$B$4</definedName>
    <definedName name="DataDelaySetting">Settings!$C$4</definedName>
    <definedName name="DataOrientationDefault">Settings!$B$10</definedName>
    <definedName name="DataOrientationSetting">Settings!$C$10</definedName>
    <definedName name="DataRowCountDefault">Settings!$B$6</definedName>
    <definedName name="DataRowCountSetting">Settings!$C$6</definedName>
    <definedName name="GameRunning">[2]Setup!$B$29</definedName>
    <definedName name="HitDialogue">[1]Setup!$B$29</definedName>
    <definedName name="HitTime">[1]Setup!$B$27</definedName>
    <definedName name="InputPitch">[1]Setup!$B$10</definedName>
    <definedName name="InputRoll">[1]Setup!$B$9</definedName>
    <definedName name="InputYaw">[1]Setup!$B$11</definedName>
    <definedName name="InvertX">[1]Setup!$B$22</definedName>
    <definedName name="InvertY">[1]Setup!$B$23</definedName>
    <definedName name="InvertZ">[1]Setup!$B$24</definedName>
    <definedName name="LanguageSelect">TT!$T$3</definedName>
    <definedName name="NetTime">[1]Setup!$B$4</definedName>
    <definedName name="Pitch">[1]Setup!$B$13</definedName>
    <definedName name="Roll">[1]Setup!$B$12</definedName>
    <definedName name="Rotate_X">'Data In'!$E$5</definedName>
    <definedName name="Rotate_Y">'Data In'!$F$5</definedName>
    <definedName name="Rotate_Z">'Data In'!$G$5</definedName>
    <definedName name="SheetName_Intro">[1]Instructions!$A$2</definedName>
    <definedName name="SheetName_JCT">'[1]Joystick Controller Test'!$A$2</definedName>
    <definedName name="SheetName_VME">'[1]Virtual Marine Environment'!$A$2</definedName>
    <definedName name="Sin_Xrot">[1]Setup!$F$21</definedName>
    <definedName name="Sin_Yrot">[1]Setup!$G$21</definedName>
    <definedName name="Sin_Zrot">[1]Setup!$H$21</definedName>
    <definedName name="StartingTime">[1]Setup!$B$3</definedName>
    <definedName name="Xframe_min">[1]Setup!$F$25</definedName>
    <definedName name="Xframe_range">[1]Setup!$F$26</definedName>
    <definedName name="Xpos_last">[1]Setup!$B$15</definedName>
    <definedName name="Xposition">[1]Setup!$B$18</definedName>
    <definedName name="Xrot">[1]Setup!$F$20</definedName>
    <definedName name="XScaleRatio">[1]Setup!$F$27</definedName>
    <definedName name="Yaw">[1]Setup!$B$14</definedName>
    <definedName name="Yframe_min">[1]Setup!$G$25</definedName>
    <definedName name="Yframe_range">[1]Setup!$G$26</definedName>
    <definedName name="Ypos_last">[1]Setup!$B$16</definedName>
    <definedName name="Yposition">[1]Setup!$B$19</definedName>
    <definedName name="Yrot">[1]Setup!$G$20</definedName>
    <definedName name="YScaleRatio">[1]Setup!$G$27</definedName>
    <definedName name="Zframe_min">[1]Setup!$H$25</definedName>
    <definedName name="Zframe_range">[1]Setup!$H$26</definedName>
    <definedName name="Zpos_last">[1]Setup!$B$17</definedName>
    <definedName name="Zposition">[1]Setup!$B$20</definedName>
    <definedName name="Zrot">[1]Setup!$H$20</definedName>
    <definedName name="ZScaleRatio">[1]Setup!$H$27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7" i="2" l="1"/>
  <c r="J7" i="2"/>
  <c r="I7" i="2"/>
  <c r="A7" i="2"/>
  <c r="A2" i="6" l="1"/>
  <c r="A2" i="5"/>
  <c r="S3" i="9"/>
  <c r="T3" i="9" s="1"/>
  <c r="B36" i="9" l="1"/>
  <c r="B37" i="9"/>
  <c r="B38" i="9"/>
  <c r="B39" i="9"/>
  <c r="B40" i="9"/>
  <c r="B41" i="9"/>
  <c r="B42" i="9"/>
  <c r="B43" i="9"/>
  <c r="B44" i="9"/>
  <c r="B45" i="9"/>
  <c r="B46" i="9"/>
  <c r="B47" i="9"/>
  <c r="B48" i="9"/>
  <c r="B49" i="9"/>
  <c r="B50" i="9"/>
  <c r="D36" i="9"/>
  <c r="D37" i="9"/>
  <c r="D38" i="9"/>
  <c r="D39" i="9"/>
  <c r="D40" i="9"/>
  <c r="D41" i="9"/>
  <c r="D42" i="9"/>
  <c r="D43" i="9"/>
  <c r="D44" i="9"/>
  <c r="D45" i="9"/>
  <c r="D46" i="9"/>
  <c r="D47" i="9"/>
  <c r="D48" i="9"/>
  <c r="D49" i="9"/>
  <c r="D50" i="9"/>
  <c r="O36" i="9"/>
  <c r="I13" i="6" s="1"/>
  <c r="O37" i="9"/>
  <c r="I16" i="6" s="1"/>
  <c r="O38" i="9"/>
  <c r="O39" i="9"/>
  <c r="O40" i="9"/>
  <c r="O41" i="9"/>
  <c r="B2" i="5" s="1"/>
  <c r="O42" i="9"/>
  <c r="L6" i="5" s="1"/>
  <c r="O43" i="9"/>
  <c r="O44" i="9"/>
  <c r="B4" i="2" s="1"/>
  <c r="O45" i="9"/>
  <c r="C4" i="2" s="1"/>
  <c r="O46" i="9"/>
  <c r="D4" i="2" s="1"/>
  <c r="O47" i="9"/>
  <c r="E4" i="2" s="1"/>
  <c r="O48" i="9"/>
  <c r="F4" i="2" s="1"/>
  <c r="O49" i="9"/>
  <c r="G4" i="2" s="1"/>
  <c r="O50" i="9"/>
  <c r="H4" i="2" s="1"/>
  <c r="B14" i="9"/>
  <c r="B15" i="9"/>
  <c r="B16" i="9"/>
  <c r="B17" i="9"/>
  <c r="B18" i="9"/>
  <c r="B19" i="9"/>
  <c r="B20" i="9"/>
  <c r="B21" i="9"/>
  <c r="B22" i="9"/>
  <c r="B23" i="9"/>
  <c r="B24" i="9"/>
  <c r="B25" i="9"/>
  <c r="B26" i="9"/>
  <c r="B27" i="9"/>
  <c r="B28" i="9"/>
  <c r="B29" i="9"/>
  <c r="B30" i="9"/>
  <c r="B31" i="9"/>
  <c r="B32" i="9"/>
  <c r="B33" i="9"/>
  <c r="B34" i="9"/>
  <c r="B35" i="9"/>
  <c r="D14" i="9"/>
  <c r="D15" i="9"/>
  <c r="D16" i="9"/>
  <c r="D17" i="9"/>
  <c r="D18" i="9"/>
  <c r="D19" i="9"/>
  <c r="D20" i="9"/>
  <c r="D21" i="9"/>
  <c r="D22" i="9"/>
  <c r="D23" i="9"/>
  <c r="D24" i="9"/>
  <c r="D25" i="9"/>
  <c r="D26" i="9"/>
  <c r="D27" i="9"/>
  <c r="D28" i="9"/>
  <c r="D29" i="9"/>
  <c r="D30" i="9"/>
  <c r="D31" i="9"/>
  <c r="D32" i="9"/>
  <c r="D33" i="9"/>
  <c r="D34" i="9"/>
  <c r="D35" i="9"/>
  <c r="O14" i="9"/>
  <c r="O15" i="9"/>
  <c r="O16" i="9"/>
  <c r="O17" i="9"/>
  <c r="O18" i="9"/>
  <c r="A1" i="4" s="1"/>
  <c r="O19" i="9"/>
  <c r="A2" i="4" s="1"/>
  <c r="O20" i="9"/>
  <c r="A4" i="4" s="1"/>
  <c r="O21" i="9"/>
  <c r="A6" i="4" s="1"/>
  <c r="O22" i="9"/>
  <c r="A8" i="4" s="1"/>
  <c r="O23" i="9"/>
  <c r="A10" i="4" s="1"/>
  <c r="O24" i="9"/>
  <c r="A12" i="4" s="1"/>
  <c r="O25" i="9"/>
  <c r="A1" i="2" s="1"/>
  <c r="O26" i="9"/>
  <c r="A2" i="2" s="1"/>
  <c r="O27" i="9"/>
  <c r="O28" i="9"/>
  <c r="O29" i="9"/>
  <c r="O30" i="9"/>
  <c r="A1" i="3" s="1"/>
  <c r="O31" i="9"/>
  <c r="A2" i="3" s="1"/>
  <c r="O32" i="9"/>
  <c r="O33" i="9"/>
  <c r="O34" i="9"/>
  <c r="B2" i="6" s="1"/>
  <c r="O35" i="9"/>
  <c r="I6" i="6" s="1"/>
  <c r="T20" i="6" l="1"/>
  <c r="W16" i="5"/>
  <c r="G20" i="6"/>
  <c r="G16" i="5"/>
  <c r="T16" i="5"/>
  <c r="N16" i="5"/>
  <c r="C20" i="6"/>
  <c r="K16" i="5"/>
  <c r="R16" i="5"/>
  <c r="E16" i="5"/>
  <c r="O3" i="9"/>
  <c r="B2" i="8" s="1"/>
  <c r="O4" i="9"/>
  <c r="O5" i="9"/>
  <c r="O6" i="9"/>
  <c r="O7" i="9"/>
  <c r="O8" i="9"/>
  <c r="O9" i="9"/>
  <c r="O10" i="9"/>
  <c r="O11" i="9"/>
  <c r="O12" i="9"/>
  <c r="O13" i="9"/>
  <c r="D3" i="9"/>
  <c r="D4" i="9"/>
  <c r="D5" i="9"/>
  <c r="D6" i="9"/>
  <c r="D7" i="9"/>
  <c r="D8" i="9"/>
  <c r="D9" i="9"/>
  <c r="D10" i="9"/>
  <c r="D11" i="9"/>
  <c r="D12" i="9"/>
  <c r="D13" i="9"/>
  <c r="B4" i="9"/>
  <c r="B5" i="9"/>
  <c r="B6" i="9"/>
  <c r="B7" i="9"/>
  <c r="B8" i="9"/>
  <c r="B9" i="9"/>
  <c r="B10" i="9"/>
  <c r="B11" i="9"/>
  <c r="B12" i="9"/>
  <c r="B13" i="9"/>
  <c r="B3" i="9"/>
  <c r="A2" i="8"/>
  <c r="C15" i="1" l="1"/>
  <c r="C16" i="1"/>
  <c r="E16" i="1"/>
  <c r="D16" i="1"/>
  <c r="E15" i="1"/>
  <c r="D15" i="1"/>
  <c r="E4" i="1"/>
  <c r="D4" i="1"/>
  <c r="C4" i="1"/>
  <c r="E3" i="1"/>
  <c r="D3" i="1"/>
  <c r="C3" i="1"/>
  <c r="E17" i="1" l="1"/>
  <c r="E19" i="1" s="1"/>
  <c r="D17" i="1"/>
  <c r="D18" i="1" s="1"/>
  <c r="E20" i="1" s="1"/>
  <c r="C17" i="1"/>
  <c r="C18" i="1" s="1"/>
  <c r="E18" i="1" l="1"/>
  <c r="D19" i="1"/>
  <c r="C20" i="1" s="1"/>
  <c r="C19" i="1"/>
  <c r="C21" i="1" l="1"/>
  <c r="D20" i="1"/>
  <c r="K18" i="1" s="1"/>
  <c r="E21" i="1"/>
  <c r="D21" i="1"/>
  <c r="E19" i="6"/>
  <c r="V13" i="6"/>
  <c r="V10" i="6"/>
  <c r="V7" i="6"/>
  <c r="T13" i="6"/>
  <c r="T10" i="6"/>
  <c r="T7" i="6"/>
  <c r="S9" i="1" l="1"/>
  <c r="S7" i="1"/>
  <c r="S8" i="1"/>
  <c r="S6" i="1"/>
  <c r="K17" i="1"/>
  <c r="K19" i="1"/>
  <c r="L15" i="1"/>
  <c r="K20" i="1"/>
  <c r="K21" i="1"/>
  <c r="K15" i="1"/>
  <c r="K16" i="1"/>
  <c r="L16" i="1"/>
  <c r="L21" i="1"/>
  <c r="L18" i="1"/>
  <c r="L17" i="1"/>
  <c r="L19" i="1"/>
  <c r="L20" i="1"/>
  <c r="E5" i="1" l="1"/>
  <c r="C5" i="3" s="1"/>
  <c r="D5" i="1"/>
  <c r="B5" i="3" s="1"/>
  <c r="C5" i="1"/>
  <c r="A5" i="3" s="1"/>
  <c r="H7" i="2" l="1"/>
  <c r="G7" i="2"/>
  <c r="F7" i="2"/>
  <c r="E7" i="2"/>
  <c r="D7" i="2"/>
  <c r="C7" i="2"/>
  <c r="B7" i="2"/>
  <c r="E7" i="1" l="1"/>
  <c r="E6" i="1" l="1"/>
  <c r="D7" i="1"/>
  <c r="D6" i="1"/>
  <c r="E8" i="1" s="1"/>
  <c r="C6" i="1"/>
  <c r="C7" i="1"/>
  <c r="D9" i="1" l="1"/>
  <c r="C9" i="1"/>
  <c r="E9" i="1"/>
  <c r="C8" i="1"/>
  <c r="D8" i="1"/>
  <c r="K5" i="1" l="1"/>
  <c r="K4" i="1"/>
  <c r="K7" i="1"/>
  <c r="K6" i="1"/>
  <c r="K9" i="1"/>
  <c r="K3" i="1"/>
  <c r="K8" i="1"/>
  <c r="L3" i="1"/>
  <c r="L5" i="1"/>
  <c r="L8" i="1"/>
  <c r="L7" i="1"/>
  <c r="L4" i="1"/>
  <c r="L9" i="1"/>
  <c r="L6" i="1"/>
  <c r="O22" i="1" l="1"/>
  <c r="O19" i="1"/>
  <c r="O21" i="1"/>
  <c r="O17" i="1"/>
  <c r="O18" i="1"/>
  <c r="O15" i="1"/>
  <c r="O20" i="1"/>
  <c r="O16" i="1"/>
  <c r="P21" i="1"/>
  <c r="P17" i="1"/>
  <c r="P20" i="1"/>
  <c r="P16" i="1"/>
  <c r="P15" i="1"/>
  <c r="P18" i="1"/>
  <c r="P22" i="1"/>
  <c r="P19" i="1"/>
  <c r="P5" i="1"/>
  <c r="P9" i="1"/>
  <c r="P7" i="1"/>
  <c r="P10" i="1"/>
  <c r="O6" i="1"/>
  <c r="O3" i="1"/>
  <c r="P6" i="1"/>
  <c r="P3" i="1"/>
  <c r="O5" i="1"/>
  <c r="O9" i="1"/>
  <c r="O10" i="1"/>
  <c r="O7" i="1"/>
  <c r="P4" i="1"/>
  <c r="P8" i="1"/>
  <c r="O4" i="1"/>
  <c r="O8" i="1"/>
</calcChain>
</file>

<file path=xl/sharedStrings.xml><?xml version="1.0" encoding="utf-8"?>
<sst xmlns="http://schemas.openxmlformats.org/spreadsheetml/2006/main" count="314" uniqueCount="199">
  <si>
    <t>Z-</t>
  </si>
  <si>
    <t>Z+</t>
  </si>
  <si>
    <t>Rotation for Chart Y</t>
  </si>
  <si>
    <t>Y-</t>
  </si>
  <si>
    <t>Rotation for Chart X</t>
  </si>
  <si>
    <t>Y+</t>
  </si>
  <si>
    <t>cos θ</t>
  </si>
  <si>
    <t>O</t>
  </si>
  <si>
    <t>sin θ</t>
  </si>
  <si>
    <t>X-</t>
  </si>
  <si>
    <t>rotation</t>
  </si>
  <si>
    <t>X+</t>
  </si>
  <si>
    <t>Z val</t>
  </si>
  <si>
    <t>Y val</t>
  </si>
  <si>
    <t>X val</t>
  </si>
  <si>
    <t>Label</t>
  </si>
  <si>
    <t>Graph Y</t>
  </si>
  <si>
    <t>Graph X</t>
  </si>
  <si>
    <t>Z</t>
  </si>
  <si>
    <t>Y</t>
  </si>
  <si>
    <t>X</t>
  </si>
  <si>
    <t>update</t>
  </si>
  <si>
    <t>Data In (From Source)</t>
  </si>
  <si>
    <t>Data coming from the current data source will appear below as it is received.</t>
  </si>
  <si>
    <t>Current Data</t>
  </si>
  <si>
    <t>Historical Data</t>
  </si>
  <si>
    <t>Time</t>
  </si>
  <si>
    <t>CH1</t>
  </si>
  <si>
    <t>CH2</t>
  </si>
  <si>
    <t>CH3</t>
  </si>
  <si>
    <t>CH4</t>
  </si>
  <si>
    <t>CH5</t>
  </si>
  <si>
    <t>CH6</t>
  </si>
  <si>
    <t>CH7</t>
  </si>
  <si>
    <t>CH8</t>
  </si>
  <si>
    <t>CH9</t>
  </si>
  <si>
    <t>CH10</t>
  </si>
  <si>
    <t>◀ Newest</t>
  </si>
  <si>
    <t>Data Out (To Device)</t>
  </si>
  <si>
    <t>Data entered into the channels below will be sent to the currently connected device
as a comma-delimited string.</t>
  </si>
  <si>
    <t>Workbook Settings</t>
  </si>
  <si>
    <t>Settings below will affect how data is read into the current workbook from data sources. Clear a field's contents to revert to its default setting.</t>
  </si>
  <si>
    <t>150</t>
  </si>
  <si>
    <t>15</t>
  </si>
  <si>
    <t>10</t>
  </si>
  <si>
    <t>Newest last</t>
  </si>
  <si>
    <t>Point</t>
  </si>
  <si>
    <t>X'</t>
  </si>
  <si>
    <t>Y'</t>
  </si>
  <si>
    <t>A</t>
  </si>
  <si>
    <t>B</t>
  </si>
  <si>
    <t>C</t>
  </si>
  <si>
    <t>X rotation</t>
  </si>
  <si>
    <t>Y rotation</t>
  </si>
  <si>
    <t>Z rotation</t>
  </si>
  <si>
    <t>X adjustment</t>
  </si>
  <si>
    <t>Y adjustment</t>
  </si>
  <si>
    <t>Z adjustment</t>
  </si>
  <si>
    <t>End Time</t>
  </si>
  <si>
    <t>Adjustment</t>
  </si>
  <si>
    <t>Current rotation</t>
  </si>
  <si>
    <t>A'</t>
  </si>
  <si>
    <t>B'</t>
  </si>
  <si>
    <t>C'</t>
  </si>
  <si>
    <t>CLOCKWISE &gt;</t>
  </si>
  <si>
    <t>RESET &gt;</t>
  </si>
  <si>
    <t>&lt; COUNTER CLOCKWISE</t>
  </si>
  <si>
    <t>Rotation of a polygon</t>
  </si>
  <si>
    <t>3-axis rotation</t>
  </si>
  <si>
    <t>Explore the isometric transformation, specifically the rotation of the triangle about the origin in a 2-D coordinate system plane.</t>
  </si>
  <si>
    <t>Explore how the vertex coordinates change as the triangle rotates through the four quadrants of the coordinate plane.</t>
  </si>
  <si>
    <t>Imagine a ray connecting the origin (0,0) to each vertex. With each rotation, each ray rotates by the same angle. When each vertex rotates, its coordinates change.</t>
  </si>
  <si>
    <t>Explore isometric transformation, specifically the rotation of a triangular pyramid in a 3-dimensional coordinate system. This is an extension of the isometric transformation of a polygon in a 2-dimensional plane explored in Polygon Rotation tab.</t>
  </si>
  <si>
    <t>English</t>
  </si>
  <si>
    <t>Next &gt;</t>
  </si>
  <si>
    <t>This workbook uses "Macros" (automated Excel commands) to assist in the data collection process</t>
  </si>
  <si>
    <t>To use these Macros and have buttons on the spreadsheets work, you must "Enable" the Macros</t>
  </si>
  <si>
    <t>Click the "Enable Content" button that appears above when you first open this workbook</t>
  </si>
  <si>
    <t>Once you have enabled macros, you can use the workbook.  If you do not see this message, macros are enabled</t>
  </si>
  <si>
    <t>Select Language</t>
  </si>
  <si>
    <t>Row</t>
  </si>
  <si>
    <t>Tab</t>
  </si>
  <si>
    <t>Location</t>
  </si>
  <si>
    <t>Language 1</t>
  </si>
  <si>
    <t>Language 2</t>
  </si>
  <si>
    <t>Language 3</t>
  </si>
  <si>
    <t>Language 4</t>
  </si>
  <si>
    <t>Language 5</t>
  </si>
  <si>
    <t>Language 6</t>
  </si>
  <si>
    <t>Language 7</t>
  </si>
  <si>
    <t>Language 8</t>
  </si>
  <si>
    <t>Language 9</t>
  </si>
  <si>
    <t>Language 10</t>
  </si>
  <si>
    <t>Display</t>
  </si>
  <si>
    <t>Português</t>
  </si>
  <si>
    <t>TT</t>
  </si>
  <si>
    <t>Portuguese</t>
  </si>
  <si>
    <t>Spanish</t>
  </si>
  <si>
    <t>German</t>
  </si>
  <si>
    <t>Italian</t>
  </si>
  <si>
    <t>Norwegian</t>
  </si>
  <si>
    <t>French</t>
  </si>
  <si>
    <t>Rotação de um polígono</t>
  </si>
  <si>
    <t>Explore a transformação isométrica, especificamente a rotação do triângulo sobre a origem em um plano do sistema de coordenadas 2-D.</t>
  </si>
  <si>
    <t>Imagine um raio ligando a origem (0,0) a cada vértice. Com cada rotação, cada raio gira no mesmo ângulo. Quando cada vértice gira, suas coordenadas mudam.</t>
  </si>
  <si>
    <t>Explore como as coordenadas do vértice mudam à medida que o triângulo gira através dos quatro quadrantes do plano de coordenadas.</t>
  </si>
  <si>
    <t>REDEFINIR &gt;</t>
  </si>
  <si>
    <t>3-eixo de rotação</t>
  </si>
  <si>
    <t>Explore a transformação isométrica, especificamente a rotação de uma pirâmide triangular em um sistema de coordenadas tridimensional. Esta é uma extensão da transformação isométrica de um polígono em um plano bidimensional explorado na guia Rotação de Polígono.</t>
  </si>
  <si>
    <t>Histórico de Dados</t>
  </si>
  <si>
    <t>Ajuste X</t>
  </si>
  <si>
    <t>Ajuste Y</t>
  </si>
  <si>
    <t>Ajuste Z</t>
  </si>
  <si>
    <t>Rotação X</t>
  </si>
  <si>
    <t>Rotação Y</t>
  </si>
  <si>
    <t>Rotação Z</t>
  </si>
  <si>
    <t>Fim do tempo</t>
  </si>
  <si>
    <t>Esta pasta de trabalho usa "Macros" (comandos automatizados do Excel) para auxiliar no processo de coleta de dados</t>
  </si>
  <si>
    <t>Para usar essas macros e ter botões nas planilhas funcionando, você deve "Ativar" as macros</t>
  </si>
  <si>
    <t>Clique no botão "Ativar conteúdo" exibido acima quando você abrir a pasta de trabalho pela primeira vez</t>
  </si>
  <si>
    <t>Depois de habilitar as macros, você poderá usar a pasta de trabalho. Se você não vir essa mensagem, as macros serão ativadas</t>
  </si>
  <si>
    <t>Selecione Idioma</t>
  </si>
  <si>
    <t>Inglês</t>
  </si>
  <si>
    <t>Espanhol</t>
  </si>
  <si>
    <t>Alemão</t>
  </si>
  <si>
    <t>Italiano</t>
  </si>
  <si>
    <t>Norueguês</t>
  </si>
  <si>
    <t>Francês</t>
  </si>
  <si>
    <t>Data interval (ms):</t>
  </si>
  <si>
    <t>Data rows:</t>
  </si>
  <si>
    <t>Data channels:</t>
  </si>
  <si>
    <t>Data Orientation:</t>
  </si>
  <si>
    <t>&lt; Previous</t>
  </si>
  <si>
    <t>Settings</t>
  </si>
  <si>
    <t>Data In</t>
  </si>
  <si>
    <t>Data Out</t>
  </si>
  <si>
    <t>*macros*</t>
  </si>
  <si>
    <t>Instructions</t>
  </si>
  <si>
    <t>Polygon Rotation</t>
  </si>
  <si>
    <t>Configurações de pasta de trabalho</t>
  </si>
  <si>
    <t>As configurações abaixo afetarão como os dados são lidos na pasta de trabalho atual a partir de fontes de dados. Limpe o conteúdo de um campo para reverter para sua configuração padrão.</t>
  </si>
  <si>
    <t>Intervalo de dados (ms):</t>
  </si>
  <si>
    <t>Linhas de dados</t>
  </si>
  <si>
    <t>Canais de Dados</t>
  </si>
  <si>
    <t>Orientação de Dados</t>
  </si>
  <si>
    <t>WARNING: Changing settings may result in the loss of content and/or custom formatting in the Data In and Data Out worksheets. Always save before changing values.</t>
  </si>
  <si>
    <t>Entrada de Dados (Da Fonte)</t>
  </si>
  <si>
    <t>Os dados provenientes da fonte de dados atual aparecerão abaixo conforme são recebidos.</t>
  </si>
  <si>
    <t>Dados atuais</t>
  </si>
  <si>
    <t>Tempo</t>
  </si>
  <si>
    <t>O mais novo</t>
  </si>
  <si>
    <t>Saída de dados (para o dispositivo)</t>
  </si>
  <si>
    <t>Os dados inseridos nos canais abaixo serão enviados para o dispositivo conectado no momento como uma corda delimitada por vírgula</t>
  </si>
  <si>
    <t>Próximo &gt;</t>
  </si>
  <si>
    <t>&lt; Anterior</t>
  </si>
  <si>
    <r>
      <t>&lt; CONTADOR SENTIDO HOR</t>
    </r>
    <r>
      <rPr>
        <sz val="11"/>
        <color theme="1"/>
        <rFont val="Calibri"/>
        <family val="2"/>
      </rPr>
      <t>Á</t>
    </r>
    <r>
      <rPr>
        <sz val="11"/>
        <color theme="1"/>
        <rFont val="Calibri"/>
        <family val="2"/>
        <scheme val="minor"/>
      </rPr>
      <t>RIO</t>
    </r>
  </si>
  <si>
    <t>SENTIDO HORÁRIO &gt;</t>
  </si>
  <si>
    <t>AVISO: A alteração das configurações pode resultar na perda de conteúdo e / ou formatação personalizada nas planilhas de entrada de dados e saída de dados. Sempre salve antes de alterar os valores.</t>
  </si>
  <si>
    <t>Rotación de un polígono</t>
  </si>
  <si>
    <t>Explora la transformación isométrica, específicamente la rotación del triángulo sobre el origen en un plano del sistema de coordenadas en 2D.</t>
  </si>
  <si>
    <t>Imagina un rayo conectando el origen (0,0) a cada vértice. Con cada rotación, cada rayo gira en el mismo ángulo. Cuando cada vértice gira, cambian sus coordenadas.</t>
  </si>
  <si>
    <t>Explora cómo cambian las coordenadas de los vértices a medida que el triángulo gira en los cuatro cuadrantes del plano de coordenadas.</t>
  </si>
  <si>
    <t>REINICIAR &gt;</t>
  </si>
  <si>
    <t>Rotación de 3 ejes</t>
  </si>
  <si>
    <t>Explora la transformación isométrica, específicamente la rotación de una pirámide triangular en un sistema de coordenadas tridimensionales. Es una extensión de la transformación isométrica de un polígono en un plano bidimensional explorado en la pestaña Rotación de polígono.</t>
  </si>
  <si>
    <t>Información histórica</t>
  </si>
  <si>
    <t>Rotación X</t>
  </si>
  <si>
    <t>Rotación Y</t>
  </si>
  <si>
    <t>Rotación Z</t>
  </si>
  <si>
    <t>Hora de finalización</t>
  </si>
  <si>
    <t>Selecciona el idioma</t>
  </si>
  <si>
    <t>Inglés</t>
  </si>
  <si>
    <t>Portugués</t>
  </si>
  <si>
    <t>Español</t>
  </si>
  <si>
    <t>Alemán</t>
  </si>
  <si>
    <t>Noruego</t>
  </si>
  <si>
    <t>Francés</t>
  </si>
  <si>
    <t>Este libro de trabajo usa "Macros" (comandos de Excel automatizados) para ayudar en el proceso de recopilación de datos</t>
  </si>
  <si>
    <t>Para utilizar estas macros y tener botones en las hojas de cálculo, debes “Habilitar” las macros.</t>
  </si>
  <si>
    <t>Haz clic en el botón “Habilitar contenido” que aparece arriba al abrir este libro de trabajo por primera vez</t>
  </si>
  <si>
    <t>Una vez que hayas habilitado los macros, puedes usar el libro de trabajo.  Si no ves este mensaje, las macros están habilitadas</t>
  </si>
  <si>
    <t>Configuración del libro</t>
  </si>
  <si>
    <t>Los siguientes ajustes afectarán la forma en que se leen los datos en el libro actual a partir de las fuentes de datos. Borra los contenidos de un campo para volver a la configuración predeterminada.</t>
  </si>
  <si>
    <t>Intervalo de datos (ms):</t>
  </si>
  <si>
    <t>Filas de datos:</t>
  </si>
  <si>
    <t>Canales de datos:</t>
  </si>
  <si>
    <t>Orientación de datos:</t>
  </si>
  <si>
    <t>ADVERTENCIA: El cambio de configuraciones puede ocasionar la pérdida de contenido y/o formato personalizado en las hojas de trabajo de entrada y salida de datos. Siempre guarda antes de cambiar los valores.</t>
  </si>
  <si>
    <t>Datos entrantes (desde la fuente)</t>
  </si>
  <si>
    <t>Los datos procedentes de la fuente de datos actual aparecerán a continuación a medida que se reciban.</t>
  </si>
  <si>
    <t>Datos actuales</t>
  </si>
  <si>
    <t>Tiempo</t>
  </si>
  <si>
    <t>Datos de salida (al dispositivo)</t>
  </si>
  <si>
    <t>Los datos ingresados en los siguientes canales se enviarán al dispositivo actualmente conectado</t>
  </si>
  <si>
    <t>Siguiente &gt;</t>
  </si>
  <si>
    <t>&lt; EN SENTIDO CONTRARIO AL RELOJ</t>
  </si>
  <si>
    <t>EN SENTIDO DEL RELOJ &gt;</t>
  </si>
  <si>
    <t>◀ El más nuevo</t>
  </si>
  <si>
    <t>v. 210714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</si>
</sst>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m\.ss.000"/>
    <numFmt numFmtId="165" formatCode="@\ &quot;(Default)&quot;"/>
  </numFmts>
  <fonts count="30" x14ac:knownFonts="1">
    <font>
      <sz val="11"/>
      <color theme="1"/>
      <name val="Calibri"/>
      <family val="2"/>
      <scheme val="minor"/>
    </font>
    <font>
      <sz val="11"/>
      <color theme="1"/>
      <name val="Segoe UI Light"/>
      <family val="2"/>
    </font>
    <font>
      <sz val="11"/>
      <color rgb="FFFFFFFF"/>
      <name val="Segoe UI Light"/>
      <family val="2"/>
    </font>
    <font>
      <sz val="20"/>
      <color rgb="FF696969"/>
      <name val="Segoe UI Light"/>
      <family val="2"/>
    </font>
    <font>
      <sz val="14"/>
      <color rgb="FF555555"/>
      <name val="Segoe UI Light"/>
      <family val="2"/>
    </font>
    <font>
      <sz val="11"/>
      <color rgb="FFBFBFBF"/>
      <name val="Segoe UI Light"/>
      <family val="2"/>
    </font>
    <font>
      <sz val="11"/>
      <color rgb="FF3A3838"/>
      <name val="Segoe UI Light"/>
      <family val="2"/>
    </font>
    <font>
      <sz val="11"/>
      <color rgb="FFBFBFBF"/>
      <name val="Segoe UI Semibold"/>
      <family val="2"/>
    </font>
    <font>
      <sz val="11"/>
      <color rgb="FF3A3838"/>
      <name val="Segoe UI Semibold"/>
      <family val="2"/>
    </font>
    <font>
      <sz val="11"/>
      <color rgb="FFFBFBFB"/>
      <name val="Segoe UI Light"/>
      <family val="2"/>
    </font>
    <font>
      <sz val="11"/>
      <color rgb="FF000000"/>
      <name val="Segoe UI Light"/>
      <family val="2"/>
    </font>
    <font>
      <i/>
      <sz val="11"/>
      <color rgb="FF808080"/>
      <name val="Segoe UI Light"/>
      <family val="2"/>
    </font>
    <font>
      <sz val="11"/>
      <color rgb="FFFF0000"/>
      <name val="Segoe UI Light"/>
      <family val="2"/>
    </font>
    <font>
      <sz val="11"/>
      <color theme="1"/>
      <name val="Segoe UI"/>
      <family val="2"/>
    </font>
    <font>
      <sz val="11"/>
      <color theme="0"/>
      <name val="Segoe UI"/>
      <family val="2"/>
    </font>
    <font>
      <b/>
      <sz val="20"/>
      <color rgb="FF00B294"/>
      <name val="Segoe UI"/>
      <family val="2"/>
    </font>
    <font>
      <sz val="14"/>
      <color theme="1"/>
      <name val="Segoe UI"/>
      <family val="2"/>
    </font>
    <font>
      <b/>
      <sz val="14"/>
      <color theme="1"/>
      <name val="Segoe UI"/>
      <family val="2"/>
    </font>
    <font>
      <sz val="11"/>
      <color theme="5" tint="-0.249977111117893"/>
      <name val="Segoe UI"/>
      <family val="2"/>
    </font>
    <font>
      <sz val="11"/>
      <color theme="1" tint="0.34998626667073579"/>
      <name val="Segoe UI"/>
      <family val="2"/>
    </font>
    <font>
      <sz val="14"/>
      <name val="Segoe UI"/>
      <family val="2"/>
    </font>
    <font>
      <sz val="11"/>
      <name val="Segoe UI"/>
      <family val="2"/>
    </font>
    <font>
      <b/>
      <sz val="11"/>
      <color theme="1"/>
      <name val="Segoe UI"/>
      <family val="2"/>
    </font>
    <font>
      <sz val="12"/>
      <color theme="1"/>
      <name val="Segoe UI"/>
      <family val="2"/>
    </font>
    <font>
      <sz val="16"/>
      <color theme="0"/>
      <name val="Segoe UI"/>
      <family val="2"/>
    </font>
    <font>
      <sz val="11"/>
      <color theme="0"/>
      <name val="Segoe UI Light"/>
      <family val="2"/>
    </font>
    <font>
      <sz val="11"/>
      <color theme="1"/>
      <name val="Calibri"/>
      <family val="2"/>
    </font>
    <font>
      <sz val="11"/>
      <color rgb="FF555555"/>
      <name val="Calibri"/>
      <family val="2"/>
      <scheme val="minor"/>
    </font>
    <font>
      <sz val="18"/>
      <color theme="0"/>
      <name val="Segoe UI"/>
      <family val="2"/>
    </font>
    <font>
      <sz val="11"/>
      <color rgb="FF8C8C8C"/>
      <name val="Segoe UI"/>
      <family val="2"/>
    </font>
  </fonts>
  <fills count="17">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2CC"/>
        <bgColor indexed="64"/>
      </patternFill>
    </fill>
    <fill>
      <patternFill patternType="solid">
        <fgColor rgb="FFBFBFBF"/>
        <bgColor indexed="64"/>
      </patternFill>
    </fill>
    <fill>
      <patternFill patternType="solid">
        <fgColor rgb="FF2ECBFF"/>
        <bgColor indexed="64"/>
      </patternFill>
    </fill>
    <fill>
      <patternFill patternType="solid">
        <fgColor rgb="FFD7F3FE"/>
        <bgColor indexed="64"/>
      </patternFill>
    </fill>
    <fill>
      <patternFill patternType="solid">
        <fgColor rgb="FFFBFBFB"/>
        <bgColor indexed="64"/>
      </patternFill>
    </fill>
    <fill>
      <patternFill patternType="solid">
        <fgColor rgb="FF003438"/>
        <bgColor indexed="64"/>
      </patternFill>
    </fill>
    <fill>
      <patternFill patternType="solid">
        <fgColor theme="0" tint="-4.9989318521683403E-2"/>
        <bgColor indexed="64"/>
      </patternFill>
    </fill>
    <fill>
      <patternFill patternType="solid">
        <fgColor theme="0"/>
        <bgColor indexed="64"/>
      </patternFill>
    </fill>
    <fill>
      <patternFill patternType="solid">
        <fgColor rgb="FF00B294"/>
        <bgColor indexed="64"/>
      </patternFill>
    </fill>
    <fill>
      <patternFill patternType="solid">
        <fgColor rgb="FF004650"/>
        <bgColor indexed="64"/>
      </patternFill>
    </fill>
    <fill>
      <patternFill patternType="solid">
        <fgColor rgb="FF0078D7"/>
        <bgColor indexed="64"/>
      </patternFill>
    </fill>
    <fill>
      <patternFill patternType="solid">
        <fgColor rgb="FF96BF00"/>
        <bgColor indexed="64"/>
      </patternFill>
    </fill>
    <fill>
      <patternFill patternType="solid">
        <fgColor rgb="FF009B2F"/>
        <bgColor indexed="64"/>
      </patternFill>
    </fill>
  </fills>
  <borders count="17">
    <border>
      <left/>
      <right/>
      <top/>
      <bottom/>
      <diagonal/>
    </border>
    <border>
      <left/>
      <right style="thick">
        <color rgb="FFEBB000"/>
      </right>
      <top/>
      <bottom/>
      <diagonal/>
    </border>
    <border>
      <left style="thick">
        <color rgb="FFEBB000"/>
      </left>
      <right style="thick">
        <color rgb="FFEBB000"/>
      </right>
      <top/>
      <bottom/>
      <diagonal/>
    </border>
    <border>
      <left style="thick">
        <color rgb="FFEBB000"/>
      </left>
      <right style="thick">
        <color rgb="FFFFC000"/>
      </right>
      <top/>
      <bottom/>
      <diagonal/>
    </border>
    <border>
      <left style="thick">
        <color rgb="FFFFC000"/>
      </left>
      <right style="thick">
        <color rgb="FFFFC000"/>
      </right>
      <top/>
      <bottom style="thick">
        <color rgb="FFFFC000"/>
      </bottom>
      <diagonal/>
    </border>
    <border>
      <left/>
      <right/>
      <top style="thick">
        <color rgb="FFFFC000"/>
      </top>
      <bottom/>
      <diagonal/>
    </border>
    <border>
      <left/>
      <right style="thin">
        <color rgb="FF999999"/>
      </right>
      <top/>
      <bottom/>
      <diagonal/>
    </border>
    <border>
      <left style="thin">
        <color rgb="FF999999"/>
      </left>
      <right style="thin">
        <color rgb="FF999999"/>
      </right>
      <top/>
      <bottom/>
      <diagonal/>
    </border>
    <border>
      <left/>
      <right style="thick">
        <color rgb="FF0FC3FF"/>
      </right>
      <top/>
      <bottom/>
      <diagonal/>
    </border>
    <border>
      <left style="thick">
        <color rgb="FF0FC3FF"/>
      </left>
      <right style="thick">
        <color rgb="FF0FC3FF"/>
      </right>
      <top/>
      <bottom/>
      <diagonal/>
    </border>
    <border>
      <left style="thick">
        <color rgb="FF61D7FF"/>
      </left>
      <right style="thick">
        <color rgb="FF61D7FF"/>
      </right>
      <top/>
      <bottom style="thick">
        <color rgb="FF61D7FF"/>
      </bottom>
      <diagonal/>
    </border>
    <border>
      <left style="thin">
        <color rgb="FFCECECE"/>
      </left>
      <right/>
      <top style="thin">
        <color rgb="FFCECECE"/>
      </top>
      <bottom style="thin">
        <color rgb="FFCECECE"/>
      </bottom>
      <diagonal/>
    </border>
    <border>
      <left style="thin">
        <color rgb="FFFFFFFF"/>
      </left>
      <right style="thin">
        <color rgb="FFCECECE"/>
      </right>
      <top style="thin">
        <color rgb="FFCECECE"/>
      </top>
      <bottom style="thin">
        <color rgb="FFCECECE"/>
      </bottom>
      <diagonal/>
    </border>
    <border>
      <left/>
      <right/>
      <top style="thin">
        <color indexed="64"/>
      </top>
      <bottom/>
      <diagonal/>
    </border>
    <border>
      <left style="medium">
        <color theme="9" tint="-0.499984740745262"/>
      </left>
      <right style="medium">
        <color theme="9" tint="-0.499984740745262"/>
      </right>
      <top style="medium">
        <color theme="9" tint="-0.499984740745262"/>
      </top>
      <bottom style="medium">
        <color theme="9" tint="-0.499984740745262"/>
      </bottom>
      <diagonal/>
    </border>
    <border>
      <left style="thin">
        <color rgb="FFBFBFBF"/>
      </left>
      <right style="thick">
        <color rgb="FFBFBFBF"/>
      </right>
      <top style="thin">
        <color rgb="FFBFBFBF"/>
      </top>
      <bottom style="thick">
        <color rgb="FFBFBFBF"/>
      </bottom>
      <diagonal/>
    </border>
    <border>
      <left style="thin">
        <color rgb="FFBFBFBF"/>
      </left>
      <right style="thin">
        <color rgb="FFBFBFBF"/>
      </right>
      <top style="thin">
        <color rgb="FFBFBFBF"/>
      </top>
      <bottom style="thick">
        <color rgb="FFBFBFBF"/>
      </bottom>
      <diagonal/>
    </border>
  </borders>
  <cellStyleXfs count="1">
    <xf numFmtId="0" fontId="0" fillId="0" borderId="0"/>
  </cellStyleXfs>
  <cellXfs count="91">
    <xf numFmtId="0" fontId="0" fillId="0" borderId="0" xfId="0"/>
    <xf numFmtId="0" fontId="0" fillId="0" borderId="0" xfId="0" quotePrefix="1"/>
    <xf numFmtId="0" fontId="1" fillId="2" borderId="0" xfId="0" applyFont="1" applyFill="1" applyBorder="1" applyAlignment="1">
      <alignment vertical="center"/>
    </xf>
    <xf numFmtId="0" fontId="2" fillId="2" borderId="0" xfId="0" applyFont="1" applyFill="1" applyBorder="1" applyAlignment="1">
      <alignment vertical="center"/>
    </xf>
    <xf numFmtId="0" fontId="1" fillId="2" borderId="0" xfId="0" applyFont="1" applyFill="1" applyBorder="1" applyAlignment="1">
      <alignment horizontal="left" vertical="center" indent="1"/>
    </xf>
    <xf numFmtId="0" fontId="1" fillId="2" borderId="0" xfId="0" applyFont="1" applyFill="1" applyBorder="1" applyAlignment="1">
      <alignment horizontal="right" vertical="center" indent="1"/>
    </xf>
    <xf numFmtId="0" fontId="5" fillId="2" borderId="0" xfId="0" applyFont="1" applyFill="1" applyBorder="1" applyAlignment="1">
      <alignment horizontal="center" wrapText="1"/>
    </xf>
    <xf numFmtId="164" fontId="6" fillId="3" borderId="1" xfId="0" applyNumberFormat="1" applyFont="1" applyFill="1" applyBorder="1" applyAlignment="1">
      <alignment horizontal="left" wrapText="1" indent="1"/>
    </xf>
    <xf numFmtId="0" fontId="6" fillId="3" borderId="2" xfId="0" applyFont="1" applyFill="1" applyBorder="1" applyAlignment="1">
      <alignment horizontal="center" wrapText="1"/>
    </xf>
    <xf numFmtId="0" fontId="6" fillId="3" borderId="3" xfId="0" applyFont="1" applyFill="1" applyBorder="1" applyAlignment="1">
      <alignment horizontal="center" wrapText="1"/>
    </xf>
    <xf numFmtId="0" fontId="7" fillId="2" borderId="0" xfId="0" applyFont="1" applyFill="1" applyBorder="1" applyAlignment="1">
      <alignment horizontal="center" vertical="center"/>
    </xf>
    <xf numFmtId="0" fontId="8" fillId="4" borderId="4" xfId="0" applyFont="1" applyFill="1" applyBorder="1" applyAlignment="1">
      <alignment horizontal="center" vertical="center"/>
    </xf>
    <xf numFmtId="164" fontId="6" fillId="5" borderId="6" xfId="0" applyNumberFormat="1" applyFont="1" applyFill="1" applyBorder="1" applyAlignment="1">
      <alignment horizontal="left" wrapText="1" indent="1"/>
    </xf>
    <xf numFmtId="0" fontId="6" fillId="5" borderId="7" xfId="0" applyFont="1" applyFill="1" applyBorder="1" applyAlignment="1">
      <alignment horizontal="center" wrapText="1"/>
    </xf>
    <xf numFmtId="0" fontId="1" fillId="2" borderId="0" xfId="0" quotePrefix="1" applyFont="1" applyFill="1" applyBorder="1" applyAlignment="1">
      <alignment horizontal="left" vertical="center" indent="1"/>
    </xf>
    <xf numFmtId="0" fontId="1" fillId="2" borderId="0" xfId="0" applyFont="1" applyFill="1"/>
    <xf numFmtId="0" fontId="2" fillId="2" borderId="0" xfId="0" applyFont="1" applyFill="1"/>
    <xf numFmtId="0" fontId="6" fillId="6" borderId="8" xfId="0" applyFont="1" applyFill="1" applyBorder="1" applyAlignment="1">
      <alignment horizontal="center" wrapText="1"/>
    </xf>
    <xf numFmtId="0" fontId="6" fillId="6" borderId="9" xfId="0" applyFont="1" applyFill="1" applyBorder="1" applyAlignment="1">
      <alignment horizontal="center" wrapText="1"/>
    </xf>
    <xf numFmtId="0" fontId="8" fillId="7" borderId="10" xfId="0" applyFont="1" applyFill="1" applyBorder="1"/>
    <xf numFmtId="0" fontId="5" fillId="2" borderId="0" xfId="0" applyFont="1" applyFill="1" applyBorder="1" applyAlignment="1">
      <alignment horizontal="center" vertical="center"/>
    </xf>
    <xf numFmtId="0" fontId="1" fillId="8" borderId="0" xfId="0" applyFont="1" applyFill="1"/>
    <xf numFmtId="0" fontId="9" fillId="8" borderId="0" xfId="0" applyFont="1" applyFill="1"/>
    <xf numFmtId="0" fontId="10" fillId="8" borderId="0" xfId="0" applyFont="1" applyFill="1" applyAlignment="1">
      <alignment horizontal="right" vertical="center"/>
    </xf>
    <xf numFmtId="165" fontId="11" fillId="2" borderId="11" xfId="0" applyNumberFormat="1" applyFont="1" applyFill="1" applyBorder="1" applyAlignment="1">
      <alignment horizontal="left" vertical="center" indent="1"/>
    </xf>
    <xf numFmtId="1" fontId="1" fillId="2" borderId="12" xfId="0" applyNumberFormat="1" applyFont="1" applyFill="1" applyBorder="1" applyAlignment="1" applyProtection="1">
      <alignment horizontal="left" vertical="center" indent="1"/>
      <protection locked="0"/>
    </xf>
    <xf numFmtId="0" fontId="0" fillId="0" borderId="0" xfId="0" applyNumberFormat="1"/>
    <xf numFmtId="0" fontId="13" fillId="0" borderId="0" xfId="0" applyFont="1"/>
    <xf numFmtId="0" fontId="13" fillId="10" borderId="0" xfId="0" applyFont="1" applyFill="1"/>
    <xf numFmtId="0" fontId="13" fillId="11" borderId="0" xfId="0" applyFont="1" applyFill="1" applyAlignment="1">
      <alignment horizontal="center" vertical="center"/>
    </xf>
    <xf numFmtId="0" fontId="13" fillId="10" borderId="0" xfId="0" applyFont="1" applyFill="1" applyAlignment="1">
      <alignment horizontal="center" vertical="center"/>
    </xf>
    <xf numFmtId="0" fontId="13" fillId="10" borderId="13" xfId="0" applyFont="1" applyFill="1" applyBorder="1"/>
    <xf numFmtId="0" fontId="13" fillId="10" borderId="13" xfId="0" applyFont="1" applyFill="1" applyBorder="1" applyAlignment="1">
      <alignment horizontal="center" vertical="center"/>
    </xf>
    <xf numFmtId="0" fontId="14" fillId="13" borderId="0" xfId="0" applyFont="1" applyFill="1" applyAlignment="1">
      <alignment horizontal="center" vertical="center"/>
    </xf>
    <xf numFmtId="2" fontId="13" fillId="11" borderId="0" xfId="0" applyNumberFormat="1" applyFont="1" applyFill="1" applyAlignment="1">
      <alignment horizontal="center" vertical="center"/>
    </xf>
    <xf numFmtId="0" fontId="16" fillId="0" borderId="0" xfId="0" applyFont="1"/>
    <xf numFmtId="0" fontId="16" fillId="10" borderId="0" xfId="0" applyFont="1" applyFill="1"/>
    <xf numFmtId="0" fontId="17" fillId="10" borderId="0" xfId="0" applyFont="1" applyFill="1"/>
    <xf numFmtId="0" fontId="16" fillId="10" borderId="13" xfId="0" applyFont="1" applyFill="1" applyBorder="1"/>
    <xf numFmtId="0" fontId="17" fillId="10" borderId="0" xfId="0" applyFont="1" applyFill="1" applyAlignment="1">
      <alignment horizontal="center" vertical="center"/>
    </xf>
    <xf numFmtId="0" fontId="17" fillId="10" borderId="13" xfId="0" applyFont="1" applyFill="1" applyBorder="1" applyAlignment="1">
      <alignment horizontal="center" vertical="center"/>
    </xf>
    <xf numFmtId="0" fontId="0" fillId="2" borderId="0" xfId="0" applyFill="1" applyBorder="1"/>
    <xf numFmtId="0" fontId="19" fillId="10" borderId="0" xfId="0" applyFont="1" applyFill="1" applyAlignment="1">
      <alignment horizontal="center" vertical="center"/>
    </xf>
    <xf numFmtId="0" fontId="18" fillId="10" borderId="0" xfId="0" applyFont="1" applyFill="1" applyAlignment="1">
      <alignment horizontal="center" vertical="center"/>
    </xf>
    <xf numFmtId="0" fontId="14" fillId="0" borderId="0" xfId="0" applyFont="1"/>
    <xf numFmtId="0" fontId="20" fillId="0" borderId="0" xfId="0" applyFont="1"/>
    <xf numFmtId="0" fontId="21" fillId="0" borderId="0" xfId="0" applyFont="1"/>
    <xf numFmtId="0" fontId="13" fillId="10" borderId="0" xfId="0" applyFont="1" applyFill="1" applyAlignment="1">
      <alignment vertical="top" wrapText="1"/>
    </xf>
    <xf numFmtId="0" fontId="13" fillId="0" borderId="0" xfId="0" applyFont="1" applyAlignment="1">
      <alignment horizontal="left" vertical="center"/>
    </xf>
    <xf numFmtId="0" fontId="1" fillId="0" borderId="0" xfId="0" applyFont="1"/>
    <xf numFmtId="0" fontId="1" fillId="0" borderId="0" xfId="0" applyFont="1" applyAlignment="1"/>
    <xf numFmtId="0" fontId="23" fillId="11" borderId="14" xfId="0" applyFont="1" applyFill="1" applyBorder="1" applyAlignment="1">
      <alignment horizontal="center" vertical="center"/>
    </xf>
    <xf numFmtId="0" fontId="13" fillId="10" borderId="0" xfId="0" applyFont="1" applyFill="1" applyAlignment="1">
      <alignment horizontal="left" vertical="center"/>
    </xf>
    <xf numFmtId="0" fontId="25" fillId="0" borderId="0" xfId="0" applyFont="1"/>
    <xf numFmtId="0" fontId="13" fillId="10" borderId="0" xfId="0" applyFont="1" applyFill="1" applyAlignment="1">
      <alignment wrapText="1"/>
    </xf>
    <xf numFmtId="0" fontId="14" fillId="13" borderId="0" xfId="0" applyFont="1" applyFill="1" applyAlignment="1">
      <alignment horizontal="center" vertical="center" wrapText="1"/>
    </xf>
    <xf numFmtId="0" fontId="16" fillId="10" borderId="0" xfId="0" applyFont="1" applyFill="1" applyAlignment="1">
      <alignment wrapText="1"/>
    </xf>
    <xf numFmtId="0" fontId="13" fillId="0" borderId="0" xfId="0" applyFont="1" applyAlignment="1">
      <alignment wrapText="1"/>
    </xf>
    <xf numFmtId="0" fontId="0" fillId="0" borderId="0" xfId="0" applyAlignment="1">
      <alignment wrapText="1"/>
    </xf>
    <xf numFmtId="0" fontId="14" fillId="12" borderId="0" xfId="0" applyFont="1" applyFill="1" applyAlignment="1">
      <alignment horizontal="center" vertical="center" wrapText="1"/>
    </xf>
    <xf numFmtId="0" fontId="14" fillId="15" borderId="0" xfId="0" applyFont="1" applyFill="1" applyAlignment="1">
      <alignment horizontal="center" vertical="center" wrapText="1"/>
    </xf>
    <xf numFmtId="0" fontId="14" fillId="14" borderId="0" xfId="0" applyFont="1" applyFill="1" applyAlignment="1">
      <alignment horizontal="center" vertical="center" wrapText="1"/>
    </xf>
    <xf numFmtId="0" fontId="0" fillId="2" borderId="0" xfId="0" applyFill="1"/>
    <xf numFmtId="0" fontId="8" fillId="4" borderId="4" xfId="0" applyFont="1" applyFill="1" applyBorder="1" applyAlignment="1">
      <alignment horizontal="left" vertical="center" indent="1"/>
    </xf>
    <xf numFmtId="0" fontId="0" fillId="2" borderId="0" xfId="0" applyFill="1" applyAlignment="1">
      <alignment horizontal="left" indent="1"/>
    </xf>
    <xf numFmtId="0" fontId="27" fillId="4" borderId="16" xfId="0" applyFont="1" applyFill="1" applyBorder="1" applyAlignment="1">
      <alignment horizontal="left" vertical="center" indent="1"/>
    </xf>
    <xf numFmtId="0" fontId="27" fillId="4" borderId="16" xfId="0" applyFont="1" applyFill="1" applyBorder="1" applyAlignment="1">
      <alignment horizontal="right" vertical="center" indent="1"/>
    </xf>
    <xf numFmtId="0" fontId="27" fillId="4" borderId="15" xfId="0" applyFont="1" applyFill="1" applyBorder="1" applyAlignment="1">
      <alignment horizontal="right" vertical="center" indent="1"/>
    </xf>
    <xf numFmtId="0" fontId="0" fillId="2" borderId="0" xfId="0" quotePrefix="1" applyFill="1" applyBorder="1" applyAlignment="1">
      <alignment horizontal="left" indent="1"/>
    </xf>
    <xf numFmtId="0" fontId="29" fillId="0" borderId="0" xfId="0" applyFont="1"/>
    <xf numFmtId="0" fontId="24" fillId="16" borderId="0" xfId="0" applyFont="1" applyFill="1" applyAlignment="1">
      <alignment horizontal="center" vertical="center"/>
    </xf>
    <xf numFmtId="0" fontId="22" fillId="0" borderId="0" xfId="0" applyFont="1" applyAlignment="1">
      <alignment horizontal="center" vertical="center"/>
    </xf>
    <xf numFmtId="0" fontId="28" fillId="9" borderId="0" xfId="0" applyFont="1" applyFill="1" applyAlignment="1">
      <alignment horizontal="center" vertical="center"/>
    </xf>
    <xf numFmtId="0" fontId="15" fillId="11" borderId="0" xfId="0" applyFont="1" applyFill="1" applyAlignment="1">
      <alignment horizontal="center" vertical="center"/>
    </xf>
    <xf numFmtId="0" fontId="14" fillId="12" borderId="0" xfId="0" applyFont="1" applyFill="1" applyAlignment="1">
      <alignment horizontal="center" vertical="center" wrapText="1"/>
    </xf>
    <xf numFmtId="0" fontId="13" fillId="10" borderId="0" xfId="0" applyFont="1" applyFill="1" applyAlignment="1">
      <alignment vertical="top" wrapText="1"/>
    </xf>
    <xf numFmtId="0" fontId="13" fillId="10" borderId="0" xfId="0" applyFont="1" applyFill="1" applyAlignment="1">
      <alignment vertical="center" wrapText="1"/>
    </xf>
    <xf numFmtId="0" fontId="13" fillId="10" borderId="0" xfId="0" applyFont="1" applyFill="1" applyAlignment="1">
      <alignment horizontal="left" vertical="center" wrapText="1"/>
    </xf>
    <xf numFmtId="0" fontId="13" fillId="10" borderId="0" xfId="0" applyFont="1" applyFill="1" applyAlignment="1">
      <alignment horizontal="left" vertical="top" wrapText="1" indent="1"/>
    </xf>
    <xf numFmtId="0" fontId="14" fillId="15" borderId="0" xfId="0" applyFont="1" applyFill="1" applyAlignment="1">
      <alignment horizontal="center" vertical="center" wrapText="1"/>
    </xf>
    <xf numFmtId="164" fontId="3" fillId="2" borderId="0" xfId="0" applyNumberFormat="1" applyFont="1" applyFill="1" applyBorder="1" applyAlignment="1">
      <alignment horizontal="left" indent="1"/>
    </xf>
    <xf numFmtId="0" fontId="3" fillId="2" borderId="0" xfId="0" applyFont="1" applyFill="1" applyBorder="1" applyAlignment="1">
      <alignment horizontal="left" indent="1"/>
    </xf>
    <xf numFmtId="164" fontId="1" fillId="2" borderId="0" xfId="0" applyNumberFormat="1" applyFont="1" applyFill="1" applyBorder="1" applyAlignment="1">
      <alignment horizontal="left" vertical="top" wrapText="1" indent="1"/>
    </xf>
    <xf numFmtId="0" fontId="1" fillId="2" borderId="0" xfId="0" applyFont="1" applyFill="1" applyBorder="1" applyAlignment="1">
      <alignment horizontal="left" vertical="top" wrapText="1" indent="1"/>
    </xf>
    <xf numFmtId="164" fontId="4" fillId="2" borderId="0" xfId="0" applyNumberFormat="1" applyFont="1" applyFill="1" applyBorder="1" applyAlignment="1">
      <alignment horizontal="left" vertical="center" indent="1"/>
    </xf>
    <xf numFmtId="164" fontId="4" fillId="2" borderId="5" xfId="0" applyNumberFormat="1" applyFont="1" applyFill="1" applyBorder="1" applyAlignment="1">
      <alignment horizontal="left" vertical="center" indent="1"/>
    </xf>
    <xf numFmtId="0" fontId="3" fillId="2" borderId="0" xfId="0" applyFont="1" applyFill="1" applyAlignment="1">
      <alignment horizontal="left" indent="1"/>
    </xf>
    <xf numFmtId="0" fontId="1" fillId="2" borderId="0" xfId="0" applyFont="1" applyFill="1" applyAlignment="1">
      <alignment horizontal="left" vertical="top" wrapText="1" indent="1"/>
    </xf>
    <xf numFmtId="0" fontId="3" fillId="8" borderId="0" xfId="0" applyFont="1" applyFill="1" applyAlignment="1">
      <alignment horizontal="left" indent="1"/>
    </xf>
    <xf numFmtId="0" fontId="1" fillId="8" borderId="0" xfId="0" applyFont="1" applyFill="1" applyAlignment="1">
      <alignment horizontal="left" vertical="top" wrapText="1" indent="1"/>
    </xf>
    <xf numFmtId="0" fontId="12" fillId="8" borderId="0" xfId="0" applyFont="1" applyFill="1" applyAlignment="1">
      <alignment horizontal="left" vertical="center" wrapText="1" indent="1"/>
    </xf>
  </cellXfs>
  <cellStyles count="1">
    <cellStyle name="Normal" xfId="0" builtinId="0"/>
  </cellStyles>
  <dxfs count="1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Invisible" pivot="0" table="0" count="0" xr9:uid="{7332B837-F3FF-4F66-9A14-C7CD3B9DD4B1}"/>
  </tableStyles>
  <colors>
    <mruColors>
      <color rgb="FF004650"/>
      <color rgb="FF0078D7"/>
      <color rgb="FF00B294"/>
      <color rgb="FF96BF00"/>
      <color rgb="FF585858"/>
      <color rgb="FF0034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Origin Triangle</c:v>
          </c:tx>
          <c:spPr>
            <a:ln w="19050" cap="rnd">
              <a:solidFill>
                <a:srgbClr val="585858"/>
              </a:solidFill>
              <a:prstDash val="sysDot"/>
              <a:round/>
            </a:ln>
            <a:effectLst/>
          </c:spPr>
          <c:marker>
            <c:symbol val="none"/>
          </c:marker>
          <c:dLbls>
            <c:delete val="1"/>
          </c:dLbls>
          <c:xVal>
            <c:numRef>
              <c:f>('Polygon Rotation'!$N$7,'Polygon Rotation'!$N$10,'Polygon Rotation'!$N$13,'Polygon Rotation'!$N$7)</c:f>
              <c:numCache>
                <c:formatCode>General</c:formatCode>
                <c:ptCount val="4"/>
                <c:pt idx="0">
                  <c:v>1</c:v>
                </c:pt>
                <c:pt idx="1">
                  <c:v>2</c:v>
                </c:pt>
                <c:pt idx="2">
                  <c:v>1</c:v>
                </c:pt>
                <c:pt idx="3">
                  <c:v>1</c:v>
                </c:pt>
              </c:numCache>
            </c:numRef>
          </c:xVal>
          <c:yVal>
            <c:numRef>
              <c:f>('Polygon Rotation'!$P$7,'Polygon Rotation'!$P$10,'Polygon Rotation'!$P$13,'Polygon Rotation'!$P$7)</c:f>
              <c:numCache>
                <c:formatCode>General</c:formatCode>
                <c:ptCount val="4"/>
                <c:pt idx="0">
                  <c:v>2</c:v>
                </c:pt>
                <c:pt idx="1">
                  <c:v>1</c:v>
                </c:pt>
                <c:pt idx="2">
                  <c:v>1</c:v>
                </c:pt>
                <c:pt idx="3">
                  <c:v>2</c:v>
                </c:pt>
              </c:numCache>
            </c:numRef>
          </c:yVal>
          <c:smooth val="0"/>
          <c:extLst>
            <c:ext xmlns:c16="http://schemas.microsoft.com/office/drawing/2014/chart" uri="{C3380CC4-5D6E-409C-BE32-E72D297353CC}">
              <c16:uniqueId val="{00000000-9313-4113-BFCD-E14FC37E0E1C}"/>
            </c:ext>
          </c:extLst>
        </c:ser>
        <c:ser>
          <c:idx val="3"/>
          <c:order val="1"/>
          <c:tx>
            <c:v>Triangle</c:v>
          </c:tx>
          <c:spPr>
            <a:ln w="47625" cap="rnd">
              <a:solidFill>
                <a:srgbClr val="004650"/>
              </a:solidFill>
              <a:round/>
            </a:ln>
            <a:effectLst/>
          </c:spPr>
          <c:marker>
            <c:symbol val="circle"/>
            <c:size val="9"/>
            <c:spPr>
              <a:solidFill>
                <a:srgbClr val="004650"/>
              </a:solidFill>
              <a:ln w="9525">
                <a:noFill/>
              </a:ln>
              <a:effectLst/>
            </c:spPr>
          </c:marker>
          <c:dLbls>
            <c:dLbl>
              <c:idx val="0"/>
              <c:tx>
                <c:rich>
                  <a:bodyPr/>
                  <a:lstStyle/>
                  <a:p>
                    <a:fld id="{F8867A98-56A2-4DD2-A42C-0D8F7E7D529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258-42F5-859E-DEE340B26A43}"/>
                </c:ext>
              </c:extLst>
            </c:dLbl>
            <c:dLbl>
              <c:idx val="1"/>
              <c:tx>
                <c:rich>
                  <a:bodyPr/>
                  <a:lstStyle/>
                  <a:p>
                    <a:fld id="{EF83F6B0-723B-4650-BF1E-EF62000F0B5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258-42F5-859E-DEE340B26A43}"/>
                </c:ext>
              </c:extLst>
            </c:dLbl>
            <c:dLbl>
              <c:idx val="2"/>
              <c:tx>
                <c:rich>
                  <a:bodyPr/>
                  <a:lstStyle/>
                  <a:p>
                    <a:fld id="{28758B78-D915-4FFD-AA2B-E0E72DF1AFE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258-42F5-859E-DEE340B26A43}"/>
                </c:ext>
              </c:extLst>
            </c:dLbl>
            <c:dLbl>
              <c:idx val="3"/>
              <c:tx>
                <c:rich>
                  <a:bodyPr/>
                  <a:lstStyle/>
                  <a:p>
                    <a:fld id="{0BC0F770-6FEE-46E3-945F-4D6E65369DE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C258-42F5-859E-DEE340B26A43}"/>
                </c:ext>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('Polygon Rotation'!$T$7,'Polygon Rotation'!$T$10,'Polygon Rotation'!$T$13,'Polygon Rotation'!$T$7)</c:f>
              <c:numCache>
                <c:formatCode>0.00</c:formatCode>
                <c:ptCount val="4"/>
                <c:pt idx="0">
                  <c:v>1</c:v>
                </c:pt>
                <c:pt idx="1">
                  <c:v>2</c:v>
                </c:pt>
                <c:pt idx="2">
                  <c:v>1</c:v>
                </c:pt>
                <c:pt idx="3">
                  <c:v>1</c:v>
                </c:pt>
              </c:numCache>
            </c:numRef>
          </c:xVal>
          <c:yVal>
            <c:numRef>
              <c:f>('Polygon Rotation'!$V$7,'Polygon Rotation'!$V$10,'Polygon Rotation'!$V$13,'Polygon Rotation'!$V$7)</c:f>
              <c:numCache>
                <c:formatCode>0.00</c:formatCode>
                <c:ptCount val="4"/>
                <c:pt idx="0">
                  <c:v>2</c:v>
                </c:pt>
                <c:pt idx="1">
                  <c:v>1</c:v>
                </c:pt>
                <c:pt idx="2">
                  <c:v>1</c:v>
                </c:pt>
                <c:pt idx="3">
                  <c:v>2</c:v>
                </c:pt>
              </c:numCache>
            </c:numRef>
          </c:yVal>
          <c:smooth val="0"/>
          <c:extLst>
            <c:ext xmlns:c15="http://schemas.microsoft.com/office/drawing/2012/chart" uri="{02D57815-91ED-43cb-92C2-25804820EDAC}">
              <c15:datalabelsRange>
                <c15:f>'XYZ Rotation Backend'!$S$6:$S$9</c15:f>
                <c15:dlblRangeCache>
                  <c:ptCount val="4"/>
                  <c:pt idx="0">
                    <c:v>A' (1,2)</c:v>
                  </c:pt>
                  <c:pt idx="1">
                    <c:v>B' (2,1)</c:v>
                  </c:pt>
                  <c:pt idx="2">
                    <c:v>C' (1,1)</c:v>
                  </c:pt>
                  <c:pt idx="3">
                    <c:v>A' (1,2)</c:v>
                  </c:pt>
                </c15:dlblRangeCache>
              </c15:datalabelsRange>
            </c:ext>
            <c:ext xmlns:c16="http://schemas.microsoft.com/office/drawing/2014/chart" uri="{C3380CC4-5D6E-409C-BE32-E72D297353CC}">
              <c16:uniqueId val="{00000009-DE93-4F55-95D6-2317A925C7D4}"/>
            </c:ext>
          </c:extLst>
        </c:ser>
        <c:dLbls>
          <c:dLblPos val="t"/>
          <c:showLegendKey val="0"/>
          <c:showVal val="1"/>
          <c:showCatName val="0"/>
          <c:showSerName val="0"/>
          <c:showPercent val="0"/>
          <c:showBubbleSize val="0"/>
        </c:dLbls>
        <c:axId val="2059226287"/>
        <c:axId val="1263870399"/>
        <c:extLst/>
      </c:scatterChart>
      <c:valAx>
        <c:axId val="2059226287"/>
        <c:scaling>
          <c:orientation val="minMax"/>
          <c:max val="2.5"/>
          <c:min val="-2.5"/>
        </c:scaling>
        <c:delete val="0"/>
        <c:axPos val="b"/>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3870399"/>
        <c:crosses val="autoZero"/>
        <c:crossBetween val="midCat"/>
        <c:majorUnit val="0.5"/>
      </c:valAx>
      <c:valAx>
        <c:axId val="1263870399"/>
        <c:scaling>
          <c:orientation val="minMax"/>
          <c:max val="2.5"/>
          <c:min val="-2.5"/>
        </c:scaling>
        <c:delete val="0"/>
        <c:axPos val="l"/>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9226287"/>
        <c:crosses val="autoZero"/>
        <c:crossBetween val="midCat"/>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830508474576273E-2"/>
          <c:y val="3.7914691943127965E-2"/>
          <c:w val="0.94033898305084751"/>
          <c:h val="0.94041976980365605"/>
        </c:manualLayout>
      </c:layout>
      <c:scatterChart>
        <c:scatterStyle val="lineMarker"/>
        <c:varyColors val="0"/>
        <c:ser>
          <c:idx val="3"/>
          <c:order val="0"/>
          <c:tx>
            <c:v>Pyramid</c:v>
          </c:tx>
          <c:spPr>
            <a:ln w="22225" cap="rnd">
              <a:solidFill>
                <a:schemeClr val="bg1">
                  <a:lumMod val="65000"/>
                </a:schemeClr>
              </a:solidFill>
              <a:prstDash val="sysDash"/>
              <a:round/>
            </a:ln>
            <a:effectLst/>
          </c:spPr>
          <c:marker>
            <c:symbol val="none"/>
          </c:marker>
          <c:xVal>
            <c:numRef>
              <c:f>('XYZ Rotation Backend'!$O$3,'XYZ Rotation Backend'!$O$5,'XYZ Rotation Backend'!$O$7,'XYZ Rotation Backend'!$O$6)</c:f>
              <c:numCache>
                <c:formatCode>General</c:formatCode>
                <c:ptCount val="4"/>
                <c:pt idx="0">
                  <c:v>0.5</c:v>
                </c:pt>
                <c:pt idx="1">
                  <c:v>0</c:v>
                </c:pt>
                <c:pt idx="2">
                  <c:v>0</c:v>
                </c:pt>
                <c:pt idx="3">
                  <c:v>0.5</c:v>
                </c:pt>
              </c:numCache>
            </c:numRef>
          </c:xVal>
          <c:yVal>
            <c:numRef>
              <c:f>('XYZ Rotation Backend'!$P$3,'XYZ Rotation Backend'!$P$5,'XYZ Rotation Backend'!$P$7,'XYZ Rotation Backend'!$P$6)</c:f>
              <c:numCache>
                <c:formatCode>General</c:formatCode>
                <c:ptCount val="4"/>
                <c:pt idx="0">
                  <c:v>0</c:v>
                </c:pt>
                <c:pt idx="1">
                  <c:v>0.5</c:v>
                </c:pt>
                <c:pt idx="2">
                  <c:v>0</c:v>
                </c:pt>
                <c:pt idx="3">
                  <c:v>0</c:v>
                </c:pt>
              </c:numCache>
            </c:numRef>
          </c:yVal>
          <c:smooth val="0"/>
          <c:extLst>
            <c:ext xmlns:c16="http://schemas.microsoft.com/office/drawing/2014/chart" uri="{C3380CC4-5D6E-409C-BE32-E72D297353CC}">
              <c16:uniqueId val="{00000009-7DEE-4D64-92CD-F4DEB3BDFD55}"/>
            </c:ext>
          </c:extLst>
        </c:ser>
        <c:ser>
          <c:idx val="0"/>
          <c:order val="1"/>
          <c:tx>
            <c:v>X</c:v>
          </c:tx>
          <c:spPr>
            <a:ln w="19050" cap="rnd">
              <a:solidFill>
                <a:srgbClr val="00B294"/>
              </a:solidFill>
              <a:round/>
              <a:headEnd type="triangle" w="lg" len="lg"/>
              <a:tailEnd type="oval" w="lg" len="lg"/>
            </a:ln>
            <a:effectLst/>
          </c:spPr>
          <c:marker>
            <c:symbol val="none"/>
          </c:marker>
          <c:dLbls>
            <c:dLbl>
              <c:idx val="0"/>
              <c:tx>
                <c:rich>
                  <a:bodyPr/>
                  <a:lstStyle/>
                  <a:p>
                    <a:fld id="{E4DE95ED-6327-445C-AE56-588EB7A3C3B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7DEE-4D64-92CD-F4DEB3BDFD55}"/>
                </c:ext>
              </c:extLst>
            </c:dLbl>
            <c:dLbl>
              <c:idx val="1"/>
              <c:tx>
                <c:rich>
                  <a:bodyPr/>
                  <a:lstStyle/>
                  <a:p>
                    <a:fld id="{C42FEB0C-B04D-45FF-9B25-5465B3E847E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7DEE-4D64-92CD-F4DEB3BDFD55}"/>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'XYZ Rotation Backend'!$K$3:$K$4</c:f>
              <c:numCache>
                <c:formatCode>General</c:formatCode>
                <c:ptCount val="2"/>
                <c:pt idx="0">
                  <c:v>0.5</c:v>
                </c:pt>
                <c:pt idx="1">
                  <c:v>-0.5</c:v>
                </c:pt>
              </c:numCache>
            </c:numRef>
          </c:xVal>
          <c:yVal>
            <c:numRef>
              <c:f>'XYZ Rotation Backend'!$L$3:$L$4</c:f>
              <c:numCache>
                <c:formatCode>General</c:formatCode>
                <c:ptCount val="2"/>
                <c:pt idx="0">
                  <c:v>0</c:v>
                </c:pt>
                <c:pt idx="1">
                  <c:v>0</c:v>
                </c:pt>
              </c:numCache>
            </c:numRef>
          </c:yVal>
          <c:smooth val="0"/>
          <c:extLst>
            <c:ext xmlns:c15="http://schemas.microsoft.com/office/drawing/2012/chart" uri="{02D57815-91ED-43cb-92C2-25804820EDAC}">
              <c15:datalabelsRange>
                <c15:f>'XYZ Rotation Backend'!$G$3:$G$4</c15:f>
                <c15:dlblRangeCache>
                  <c:ptCount val="2"/>
                  <c:pt idx="0">
                    <c:v>X+</c:v>
                  </c:pt>
                  <c:pt idx="1">
                    <c:v>X-</c:v>
                  </c:pt>
                </c15:dlblRangeCache>
              </c15:datalabelsRange>
            </c:ext>
            <c:ext xmlns:c16="http://schemas.microsoft.com/office/drawing/2014/chart" uri="{C3380CC4-5D6E-409C-BE32-E72D297353CC}">
              <c16:uniqueId val="{00000002-7DEE-4D64-92CD-F4DEB3BDFD55}"/>
            </c:ext>
          </c:extLst>
        </c:ser>
        <c:ser>
          <c:idx val="1"/>
          <c:order val="2"/>
          <c:tx>
            <c:v>Y</c:v>
          </c:tx>
          <c:spPr>
            <a:ln w="19050" cap="rnd">
              <a:solidFill>
                <a:srgbClr val="96BF00"/>
              </a:solidFill>
              <a:round/>
              <a:headEnd type="triangle" w="lg" len="lg"/>
              <a:tailEnd type="oval" w="lg" len="lg"/>
            </a:ln>
            <a:effectLst/>
          </c:spPr>
          <c:marker>
            <c:symbol val="none"/>
          </c:marker>
          <c:dLbls>
            <c:dLbl>
              <c:idx val="0"/>
              <c:tx>
                <c:rich>
                  <a:bodyPr/>
                  <a:lstStyle/>
                  <a:p>
                    <a:fld id="{140522F6-0F79-41EB-A830-51B5C55F171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DEE-4D64-92CD-F4DEB3BDFD55}"/>
                </c:ext>
              </c:extLst>
            </c:dLbl>
            <c:dLbl>
              <c:idx val="1"/>
              <c:tx>
                <c:rich>
                  <a:bodyPr/>
                  <a:lstStyle/>
                  <a:p>
                    <a:fld id="{194A5F1E-BFBF-4D56-AA3F-295766C7D82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DEE-4D64-92CD-F4DEB3BDFD55}"/>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'XYZ Rotation Backend'!$K$6:$K$7</c:f>
              <c:numCache>
                <c:formatCode>General</c:formatCode>
                <c:ptCount val="2"/>
                <c:pt idx="0">
                  <c:v>0</c:v>
                </c:pt>
                <c:pt idx="1">
                  <c:v>0</c:v>
                </c:pt>
              </c:numCache>
            </c:numRef>
          </c:xVal>
          <c:yVal>
            <c:numRef>
              <c:f>'XYZ Rotation Backend'!$L$6:$L$7</c:f>
              <c:numCache>
                <c:formatCode>General</c:formatCode>
                <c:ptCount val="2"/>
                <c:pt idx="0">
                  <c:v>0.5</c:v>
                </c:pt>
                <c:pt idx="1">
                  <c:v>-0.5</c:v>
                </c:pt>
              </c:numCache>
            </c:numRef>
          </c:yVal>
          <c:smooth val="0"/>
          <c:extLst>
            <c:ext xmlns:c15="http://schemas.microsoft.com/office/drawing/2012/chart" uri="{02D57815-91ED-43cb-92C2-25804820EDAC}">
              <c15:datalabelsRange>
                <c15:f>'XYZ Rotation Backend'!$G$6:$G$7</c15:f>
                <c15:dlblRangeCache>
                  <c:ptCount val="2"/>
                  <c:pt idx="0">
                    <c:v>Y+</c:v>
                  </c:pt>
                  <c:pt idx="1">
                    <c:v>Y-</c:v>
                  </c:pt>
                </c15:dlblRangeCache>
              </c15:datalabelsRange>
            </c:ext>
            <c:ext xmlns:c16="http://schemas.microsoft.com/office/drawing/2014/chart" uri="{C3380CC4-5D6E-409C-BE32-E72D297353CC}">
              <c16:uniqueId val="{00000005-7DEE-4D64-92CD-F4DEB3BDFD55}"/>
            </c:ext>
          </c:extLst>
        </c:ser>
        <c:ser>
          <c:idx val="2"/>
          <c:order val="3"/>
          <c:tx>
            <c:v>Z</c:v>
          </c:tx>
          <c:spPr>
            <a:ln w="19050" cap="rnd">
              <a:solidFill>
                <a:srgbClr val="0078D7"/>
              </a:solidFill>
              <a:round/>
              <a:headEnd type="triangle" w="lg" len="lg"/>
              <a:tailEnd type="oval" w="lg" len="lg"/>
            </a:ln>
            <a:effectLst/>
          </c:spPr>
          <c:marker>
            <c:symbol val="none"/>
          </c:marker>
          <c:dLbls>
            <c:dLbl>
              <c:idx val="0"/>
              <c:tx>
                <c:rich>
                  <a:bodyPr/>
                  <a:lstStyle/>
                  <a:p>
                    <a:fld id="{977B43A9-1107-4B90-A812-9046EADC0EA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7DEE-4D64-92CD-F4DEB3BDFD55}"/>
                </c:ext>
              </c:extLst>
            </c:dLbl>
            <c:dLbl>
              <c:idx val="1"/>
              <c:tx>
                <c:rich>
                  <a:bodyPr/>
                  <a:lstStyle/>
                  <a:p>
                    <a:fld id="{9928258C-0225-4688-96DA-4CA789EAA26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DEE-4D64-92CD-F4DEB3BDFD55}"/>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'XYZ Rotation Backend'!$K$8:$K$9</c:f>
              <c:numCache>
                <c:formatCode>General</c:formatCode>
                <c:ptCount val="2"/>
                <c:pt idx="0">
                  <c:v>0</c:v>
                </c:pt>
                <c:pt idx="1">
                  <c:v>0</c:v>
                </c:pt>
              </c:numCache>
            </c:numRef>
          </c:xVal>
          <c:yVal>
            <c:numRef>
              <c:f>'XYZ Rotation Backend'!$L$8:$L$9</c:f>
              <c:numCache>
                <c:formatCode>General</c:formatCode>
                <c:ptCount val="2"/>
                <c:pt idx="0">
                  <c:v>0</c:v>
                </c:pt>
                <c:pt idx="1">
                  <c:v>0</c:v>
                </c:pt>
              </c:numCache>
            </c:numRef>
          </c:yVal>
          <c:smooth val="0"/>
          <c:extLst>
            <c:ext xmlns:c15="http://schemas.microsoft.com/office/drawing/2012/chart" uri="{02D57815-91ED-43cb-92C2-25804820EDAC}">
              <c15:datalabelsRange>
                <c15:f>'XYZ Rotation Backend'!$G$8:$G$9</c15:f>
                <c15:dlblRangeCache>
                  <c:ptCount val="2"/>
                  <c:pt idx="0">
                    <c:v>Z+</c:v>
                  </c:pt>
                  <c:pt idx="1">
                    <c:v>Z-</c:v>
                  </c:pt>
                </c15:dlblRangeCache>
              </c15:datalabelsRange>
            </c:ext>
            <c:ext xmlns:c16="http://schemas.microsoft.com/office/drawing/2014/chart" uri="{C3380CC4-5D6E-409C-BE32-E72D297353CC}">
              <c16:uniqueId val="{00000008-7DEE-4D64-92CD-F4DEB3BDFD55}"/>
            </c:ext>
          </c:extLst>
        </c:ser>
        <c:ser>
          <c:idx val="4"/>
          <c:order val="4"/>
          <c:tx>
            <c:v>B view</c:v>
          </c:tx>
          <c:spPr>
            <a:ln w="19050" cap="rnd">
              <a:solidFill>
                <a:schemeClr val="tx1">
                  <a:lumMod val="65000"/>
                  <a:lumOff val="35000"/>
                </a:schemeClr>
              </a:solidFill>
              <a:prstDash val="sysDot"/>
              <a:round/>
              <a:tailEnd type="oval" w="lg" len="lg"/>
            </a:ln>
            <a:effectLst/>
          </c:spPr>
          <c:marker>
            <c:symbol val="none"/>
          </c:marker>
          <c:xVal>
            <c:numLit>
              <c:formatCode>General</c:formatCode>
              <c:ptCount val="2"/>
              <c:pt idx="0">
                <c:v>0</c:v>
              </c:pt>
              <c:pt idx="1">
                <c:v>0</c:v>
              </c:pt>
            </c:numLit>
          </c:xVal>
          <c:yVal>
            <c:numLit>
              <c:formatCode>General</c:formatCode>
              <c:ptCount val="2"/>
              <c:pt idx="0">
                <c:v>0</c:v>
              </c:pt>
              <c:pt idx="1">
                <c:v>-0.5</c:v>
              </c:pt>
            </c:numLit>
          </c:yVal>
          <c:smooth val="0"/>
          <c:extLst>
            <c:ext xmlns:c16="http://schemas.microsoft.com/office/drawing/2014/chart" uri="{C3380CC4-5D6E-409C-BE32-E72D297353CC}">
              <c16:uniqueId val="{00000012-F51C-4022-86AB-80710308D698}"/>
            </c:ext>
          </c:extLst>
        </c:ser>
        <c:dLbls>
          <c:showLegendKey val="0"/>
          <c:showVal val="0"/>
          <c:showCatName val="0"/>
          <c:showSerName val="0"/>
          <c:showPercent val="0"/>
          <c:showBubbleSize val="0"/>
        </c:dLbls>
        <c:axId val="2059226287"/>
        <c:axId val="1263870399"/>
      </c:scatterChart>
      <c:valAx>
        <c:axId val="2059226287"/>
        <c:scaling>
          <c:orientation val="minMax"/>
          <c:max val="0.60000000000000009"/>
          <c:min val="-0.60000000000000009"/>
        </c:scaling>
        <c:delete val="0"/>
        <c:axPos val="b"/>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3870399"/>
        <c:crosses val="autoZero"/>
        <c:crossBetween val="midCat"/>
        <c:majorUnit val="0.1"/>
      </c:valAx>
      <c:valAx>
        <c:axId val="1263870399"/>
        <c:scaling>
          <c:orientation val="minMax"/>
          <c:max val="0.60000000000000009"/>
          <c:min val="-0.60000000000000009"/>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9226287"/>
        <c:crosses val="autoZero"/>
        <c:crossBetween val="midCat"/>
        <c:majorUnit val="0.1"/>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830508474576273E-2"/>
          <c:y val="3.7914691943127965E-2"/>
          <c:w val="0.94033898305084751"/>
          <c:h val="0.94041976980365605"/>
        </c:manualLayout>
      </c:layout>
      <c:scatterChart>
        <c:scatterStyle val="lineMarker"/>
        <c:varyColors val="0"/>
        <c:ser>
          <c:idx val="3"/>
          <c:order val="0"/>
          <c:tx>
            <c:v>Pyramid</c:v>
          </c:tx>
          <c:spPr>
            <a:ln w="22225" cap="rnd">
              <a:solidFill>
                <a:schemeClr val="bg1">
                  <a:lumMod val="65000"/>
                </a:schemeClr>
              </a:solidFill>
              <a:prstDash val="sysDash"/>
              <a:round/>
            </a:ln>
            <a:effectLst/>
          </c:spPr>
          <c:marker>
            <c:symbol val="none"/>
          </c:marker>
          <c:xVal>
            <c:numRef>
              <c:f>('XYZ Rotation Backend'!$O$15,'XYZ Rotation Backend'!$O$17,'XYZ Rotation Backend'!$O$19,'XYZ Rotation Backend'!$O$15)</c:f>
              <c:numCache>
                <c:formatCode>General</c:formatCode>
                <c:ptCount val="4"/>
                <c:pt idx="0">
                  <c:v>0.5</c:v>
                </c:pt>
                <c:pt idx="1">
                  <c:v>0</c:v>
                </c:pt>
                <c:pt idx="2">
                  <c:v>0</c:v>
                </c:pt>
                <c:pt idx="3">
                  <c:v>0.5</c:v>
                </c:pt>
              </c:numCache>
            </c:numRef>
          </c:xVal>
          <c:yVal>
            <c:numRef>
              <c:f>('XYZ Rotation Backend'!$P$15,'XYZ Rotation Backend'!$P$17,'XYZ Rotation Backend'!$P$19,'XYZ Rotation Backend'!$P$15)</c:f>
              <c:numCache>
                <c:formatCode>General</c:formatCode>
                <c:ptCount val="4"/>
                <c:pt idx="0">
                  <c:v>0</c:v>
                </c:pt>
                <c:pt idx="1">
                  <c:v>3.06287113727155E-17</c:v>
                </c:pt>
                <c:pt idx="2">
                  <c:v>0.5</c:v>
                </c:pt>
                <c:pt idx="3">
                  <c:v>0</c:v>
                </c:pt>
              </c:numCache>
            </c:numRef>
          </c:yVal>
          <c:smooth val="0"/>
          <c:extLst>
            <c:ext xmlns:c16="http://schemas.microsoft.com/office/drawing/2014/chart" uri="{C3380CC4-5D6E-409C-BE32-E72D297353CC}">
              <c16:uniqueId val="{00000000-C3A0-4540-B466-F954BBAFECBC}"/>
            </c:ext>
          </c:extLst>
        </c:ser>
        <c:ser>
          <c:idx val="0"/>
          <c:order val="1"/>
          <c:tx>
            <c:v>X</c:v>
          </c:tx>
          <c:spPr>
            <a:ln w="19050" cap="rnd">
              <a:solidFill>
                <a:srgbClr val="00B294"/>
              </a:solidFill>
              <a:round/>
              <a:headEnd type="triangle" w="lg" len="lg"/>
              <a:tailEnd type="oval" w="lg" len="lg"/>
            </a:ln>
            <a:effectLst/>
          </c:spPr>
          <c:marker>
            <c:symbol val="none"/>
          </c:marker>
          <c:dLbls>
            <c:dLbl>
              <c:idx val="0"/>
              <c:tx>
                <c:rich>
                  <a:bodyPr/>
                  <a:lstStyle/>
                  <a:p>
                    <a:fld id="{F4A4FCD0-3BCE-49E1-BB80-6639D519248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3A0-4540-B466-F954BBAFECBC}"/>
                </c:ext>
              </c:extLst>
            </c:dLbl>
            <c:dLbl>
              <c:idx val="1"/>
              <c:tx>
                <c:rich>
                  <a:bodyPr/>
                  <a:lstStyle/>
                  <a:p>
                    <a:fld id="{B8620D6B-B4F1-401C-9642-E1D09C92821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3A0-4540-B466-F954BBAFECBC}"/>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'XYZ Rotation Backend'!$K$15:$K$16</c:f>
              <c:numCache>
                <c:formatCode>General</c:formatCode>
                <c:ptCount val="2"/>
                <c:pt idx="0">
                  <c:v>0.5</c:v>
                </c:pt>
                <c:pt idx="1">
                  <c:v>-0.5</c:v>
                </c:pt>
              </c:numCache>
            </c:numRef>
          </c:xVal>
          <c:yVal>
            <c:numRef>
              <c:f>'XYZ Rotation Backend'!$L$15:$L$16</c:f>
              <c:numCache>
                <c:formatCode>General</c:formatCode>
                <c:ptCount val="2"/>
                <c:pt idx="0">
                  <c:v>0</c:v>
                </c:pt>
                <c:pt idx="1">
                  <c:v>0</c:v>
                </c:pt>
              </c:numCache>
            </c:numRef>
          </c:yVal>
          <c:smooth val="0"/>
          <c:extLst>
            <c:ext xmlns:c15="http://schemas.microsoft.com/office/drawing/2012/chart" uri="{02D57815-91ED-43cb-92C2-25804820EDAC}">
              <c15:datalabelsRange>
                <c15:f>'XYZ Rotation Backend'!$G$3:$G$4</c15:f>
                <c15:dlblRangeCache>
                  <c:ptCount val="2"/>
                  <c:pt idx="0">
                    <c:v>X+</c:v>
                  </c:pt>
                  <c:pt idx="1">
                    <c:v>X-</c:v>
                  </c:pt>
                </c15:dlblRangeCache>
              </c15:datalabelsRange>
            </c:ext>
            <c:ext xmlns:c16="http://schemas.microsoft.com/office/drawing/2014/chart" uri="{C3380CC4-5D6E-409C-BE32-E72D297353CC}">
              <c16:uniqueId val="{00000003-C3A0-4540-B466-F954BBAFECBC}"/>
            </c:ext>
          </c:extLst>
        </c:ser>
        <c:ser>
          <c:idx val="1"/>
          <c:order val="2"/>
          <c:tx>
            <c:v>Y</c:v>
          </c:tx>
          <c:spPr>
            <a:ln w="19050" cap="rnd">
              <a:solidFill>
                <a:srgbClr val="96BF00"/>
              </a:solidFill>
              <a:round/>
              <a:headEnd type="triangle" w="lg" len="lg"/>
              <a:tailEnd type="oval" w="lg" len="lg"/>
            </a:ln>
            <a:effectLst/>
          </c:spPr>
          <c:marker>
            <c:symbol val="none"/>
          </c:marker>
          <c:dLbls>
            <c:dLbl>
              <c:idx val="0"/>
              <c:tx>
                <c:rich>
                  <a:bodyPr/>
                  <a:lstStyle/>
                  <a:p>
                    <a:fld id="{6E9E2952-CB81-43B8-AE83-B69C9FBC889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3A0-4540-B466-F954BBAFECBC}"/>
                </c:ext>
              </c:extLst>
            </c:dLbl>
            <c:dLbl>
              <c:idx val="1"/>
              <c:tx>
                <c:rich>
                  <a:bodyPr/>
                  <a:lstStyle/>
                  <a:p>
                    <a:fld id="{BED4EA0C-8005-417A-9837-82012B58BAB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3A0-4540-B466-F954BBAFECBC}"/>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'XYZ Rotation Backend'!$K$18:$K$19</c:f>
              <c:numCache>
                <c:formatCode>General</c:formatCode>
                <c:ptCount val="2"/>
                <c:pt idx="0">
                  <c:v>0</c:v>
                </c:pt>
                <c:pt idx="1">
                  <c:v>0</c:v>
                </c:pt>
              </c:numCache>
            </c:numRef>
          </c:xVal>
          <c:yVal>
            <c:numRef>
              <c:f>'XYZ Rotation Backend'!$L$18:$L$19</c:f>
              <c:numCache>
                <c:formatCode>General</c:formatCode>
                <c:ptCount val="2"/>
                <c:pt idx="0">
                  <c:v>3.06287113727155E-17</c:v>
                </c:pt>
                <c:pt idx="1">
                  <c:v>-3.06287113727155E-17</c:v>
                </c:pt>
              </c:numCache>
            </c:numRef>
          </c:yVal>
          <c:smooth val="0"/>
          <c:extLst>
            <c:ext xmlns:c15="http://schemas.microsoft.com/office/drawing/2012/chart" uri="{02D57815-91ED-43cb-92C2-25804820EDAC}">
              <c15:datalabelsRange>
                <c15:f>'XYZ Rotation Backend'!$G$6:$G$7</c15:f>
                <c15:dlblRangeCache>
                  <c:ptCount val="2"/>
                  <c:pt idx="0">
                    <c:v>Y+</c:v>
                  </c:pt>
                  <c:pt idx="1">
                    <c:v>Y-</c:v>
                  </c:pt>
                </c15:dlblRangeCache>
              </c15:datalabelsRange>
            </c:ext>
            <c:ext xmlns:c16="http://schemas.microsoft.com/office/drawing/2014/chart" uri="{C3380CC4-5D6E-409C-BE32-E72D297353CC}">
              <c16:uniqueId val="{00000006-C3A0-4540-B466-F954BBAFECBC}"/>
            </c:ext>
          </c:extLst>
        </c:ser>
        <c:ser>
          <c:idx val="2"/>
          <c:order val="3"/>
          <c:tx>
            <c:v>Z</c:v>
          </c:tx>
          <c:spPr>
            <a:ln w="19050" cap="rnd">
              <a:solidFill>
                <a:srgbClr val="0078D7"/>
              </a:solidFill>
              <a:round/>
              <a:headEnd type="triangle" w="lg" len="lg"/>
              <a:tailEnd type="oval" w="lg" len="lg"/>
            </a:ln>
            <a:effectLst/>
          </c:spPr>
          <c:marker>
            <c:symbol val="none"/>
          </c:marker>
          <c:dLbls>
            <c:dLbl>
              <c:idx val="0"/>
              <c:tx>
                <c:rich>
                  <a:bodyPr/>
                  <a:lstStyle/>
                  <a:p>
                    <a:fld id="{0CE76AA1-7F0B-4455-977B-4C61A825DA4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3A0-4540-B466-F954BBAFECBC}"/>
                </c:ext>
              </c:extLst>
            </c:dLbl>
            <c:dLbl>
              <c:idx val="1"/>
              <c:tx>
                <c:rich>
                  <a:bodyPr/>
                  <a:lstStyle/>
                  <a:p>
                    <a:fld id="{97EBE447-B49E-4D50-B88D-8DFB4FDB09E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C3A0-4540-B466-F954BBAFECBC}"/>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'XYZ Rotation Backend'!$K$20:$K$21</c:f>
              <c:numCache>
                <c:formatCode>General</c:formatCode>
                <c:ptCount val="2"/>
                <c:pt idx="0">
                  <c:v>0</c:v>
                </c:pt>
                <c:pt idx="1">
                  <c:v>0</c:v>
                </c:pt>
              </c:numCache>
            </c:numRef>
          </c:xVal>
          <c:yVal>
            <c:numRef>
              <c:f>'XYZ Rotation Backend'!$L$20:$L$21</c:f>
              <c:numCache>
                <c:formatCode>General</c:formatCode>
                <c:ptCount val="2"/>
                <c:pt idx="0">
                  <c:v>0.5</c:v>
                </c:pt>
                <c:pt idx="1">
                  <c:v>-0.5</c:v>
                </c:pt>
              </c:numCache>
            </c:numRef>
          </c:yVal>
          <c:smooth val="0"/>
          <c:extLst>
            <c:ext xmlns:c15="http://schemas.microsoft.com/office/drawing/2012/chart" uri="{02D57815-91ED-43cb-92C2-25804820EDAC}">
              <c15:datalabelsRange>
                <c15:f>'XYZ Rotation Backend'!$G$8:$G$9</c15:f>
                <c15:dlblRangeCache>
                  <c:ptCount val="2"/>
                  <c:pt idx="0">
                    <c:v>Z+</c:v>
                  </c:pt>
                  <c:pt idx="1">
                    <c:v>Z-</c:v>
                  </c:pt>
                </c15:dlblRangeCache>
              </c15:datalabelsRange>
            </c:ext>
            <c:ext xmlns:c16="http://schemas.microsoft.com/office/drawing/2014/chart" uri="{C3380CC4-5D6E-409C-BE32-E72D297353CC}">
              <c16:uniqueId val="{00000009-C3A0-4540-B466-F954BBAFECBC}"/>
            </c:ext>
          </c:extLst>
        </c:ser>
        <c:ser>
          <c:idx val="4"/>
          <c:order val="4"/>
          <c:tx>
            <c:v>A view</c:v>
          </c:tx>
          <c:spPr>
            <a:ln w="19050" cap="sq">
              <a:solidFill>
                <a:schemeClr val="accent2">
                  <a:lumMod val="75000"/>
                </a:schemeClr>
              </a:solidFill>
              <a:prstDash val="sysDot"/>
              <a:round/>
              <a:tailEnd type="oval" w="lg" len="lg"/>
            </a:ln>
            <a:effectLst/>
          </c:spPr>
          <c:marker>
            <c:symbol val="none"/>
          </c:marker>
          <c:xVal>
            <c:numLit>
              <c:formatCode>General</c:formatCode>
              <c:ptCount val="2"/>
              <c:pt idx="0">
                <c:v>0</c:v>
              </c:pt>
              <c:pt idx="1">
                <c:v>0</c:v>
              </c:pt>
            </c:numLit>
          </c:xVal>
          <c:yVal>
            <c:numLit>
              <c:formatCode>General</c:formatCode>
              <c:ptCount val="2"/>
              <c:pt idx="0">
                <c:v>0</c:v>
              </c:pt>
              <c:pt idx="1">
                <c:v>0.5</c:v>
              </c:pt>
            </c:numLit>
          </c:yVal>
          <c:smooth val="0"/>
          <c:extLst>
            <c:ext xmlns:c16="http://schemas.microsoft.com/office/drawing/2014/chart" uri="{C3380CC4-5D6E-409C-BE32-E72D297353CC}">
              <c16:uniqueId val="{0000000A-C3A0-4540-B466-F954BBAFECBC}"/>
            </c:ext>
          </c:extLst>
        </c:ser>
        <c:dLbls>
          <c:showLegendKey val="0"/>
          <c:showVal val="0"/>
          <c:showCatName val="0"/>
          <c:showSerName val="0"/>
          <c:showPercent val="0"/>
          <c:showBubbleSize val="0"/>
        </c:dLbls>
        <c:axId val="2059226287"/>
        <c:axId val="1263870399"/>
      </c:scatterChart>
      <c:valAx>
        <c:axId val="2059226287"/>
        <c:scaling>
          <c:orientation val="minMax"/>
          <c:max val="0.60000000000000009"/>
          <c:min val="-0.60000000000000009"/>
        </c:scaling>
        <c:delete val="0"/>
        <c:axPos val="b"/>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3870399"/>
        <c:crosses val="autoZero"/>
        <c:crossBetween val="midCat"/>
        <c:majorUnit val="0.1"/>
      </c:valAx>
      <c:valAx>
        <c:axId val="1263870399"/>
        <c:scaling>
          <c:orientation val="minMax"/>
          <c:max val="0.60000000000000009"/>
          <c:min val="-0.60000000000000009"/>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9226287"/>
        <c:crosses val="autoZero"/>
        <c:crossBetween val="midCat"/>
        <c:majorUnit val="0.1"/>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1</xdr:col>
      <xdr:colOff>277755</xdr:colOff>
      <xdr:row>3</xdr:row>
      <xdr:rowOff>22664</xdr:rowOff>
    </xdr:from>
    <xdr:to>
      <xdr:col>7</xdr:col>
      <xdr:colOff>247649</xdr:colOff>
      <xdr:row>17</xdr:row>
      <xdr:rowOff>554540</xdr:rowOff>
    </xdr:to>
    <xdr:graphicFrame macro="">
      <xdr:nvGraphicFramePr>
        <xdr:cNvPr id="2" name="Chart 1">
          <a:extLst>
            <a:ext uri="{FF2B5EF4-FFF2-40B4-BE49-F238E27FC236}">
              <a16:creationId xmlns:a16="http://schemas.microsoft.com/office/drawing/2014/main" id="{4F6DF669-BF9D-48B1-A52A-6FE54BD56EDC}"/>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282575</xdr:colOff>
      <xdr:row>18</xdr:row>
      <xdr:rowOff>200026</xdr:rowOff>
    </xdr:from>
    <xdr:to>
      <xdr:col>2</xdr:col>
      <xdr:colOff>1692276</xdr:colOff>
      <xdr:row>19</xdr:row>
      <xdr:rowOff>371475</xdr:rowOff>
    </xdr:to>
    <xdr:sp macro="[0]!AdjustAxis" textlink="">
      <xdr:nvSpPr>
        <xdr:cNvPr id="3" name="ZObjRot_+">
          <a:extLst>
            <a:ext uri="{FF2B5EF4-FFF2-40B4-BE49-F238E27FC236}">
              <a16:creationId xmlns:a16="http://schemas.microsoft.com/office/drawing/2014/main" id="{9F8E0A87-E849-4C01-9FC2-36B83ABE6AB5}"/>
            </a:ext>
          </a:extLst>
        </xdr:cNvPr>
        <xdr:cNvSpPr/>
      </xdr:nvSpPr>
      <xdr:spPr>
        <a:xfrm>
          <a:off x="523875" y="5489576"/>
          <a:ext cx="1695451" cy="380999"/>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288925</xdr:colOff>
      <xdr:row>18</xdr:row>
      <xdr:rowOff>206376</xdr:rowOff>
    </xdr:from>
    <xdr:to>
      <xdr:col>6</xdr:col>
      <xdr:colOff>1708150</xdr:colOff>
      <xdr:row>19</xdr:row>
      <xdr:rowOff>368300</xdr:rowOff>
    </xdr:to>
    <xdr:sp macro="[0]!AdjustAxis" textlink="">
      <xdr:nvSpPr>
        <xdr:cNvPr id="4" name="ZObjRot_-">
          <a:extLst>
            <a:ext uri="{FF2B5EF4-FFF2-40B4-BE49-F238E27FC236}">
              <a16:creationId xmlns:a16="http://schemas.microsoft.com/office/drawing/2014/main" id="{CCB7A51E-82F5-4247-8849-36E6B59D2A43}"/>
            </a:ext>
          </a:extLst>
        </xdr:cNvPr>
        <xdr:cNvSpPr/>
      </xdr:nvSpPr>
      <xdr:spPr>
        <a:xfrm>
          <a:off x="3794125" y="5565776"/>
          <a:ext cx="1717675" cy="371474"/>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10</xdr:col>
      <xdr:colOff>721302</xdr:colOff>
      <xdr:row>13</xdr:row>
      <xdr:rowOff>248516</xdr:rowOff>
    </xdr:from>
    <xdr:to>
      <xdr:col>22</xdr:col>
      <xdr:colOff>484971</xdr:colOff>
      <xdr:row>17</xdr:row>
      <xdr:rowOff>14146</xdr:rowOff>
    </xdr:to>
    <xdr:pic>
      <xdr:nvPicPr>
        <xdr:cNvPr id="6" name="Picture 5">
          <a:extLst>
            <a:ext uri="{FF2B5EF4-FFF2-40B4-BE49-F238E27FC236}">
              <a16:creationId xmlns:a16="http://schemas.microsoft.com/office/drawing/2014/main" id="{DCABC1B6-EED0-4C88-BE77-0C7DDC6CBEA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579302" y="3235902"/>
          <a:ext cx="4422486" cy="2025653"/>
        </a:xfrm>
        <a:prstGeom prst="rect">
          <a:avLst/>
        </a:prstGeom>
      </xdr:spPr>
    </xdr:pic>
    <xdr:clientData/>
  </xdr:twoCellAnchor>
  <xdr:twoCellAnchor>
    <xdr:from>
      <xdr:col>18</xdr:col>
      <xdr:colOff>92075</xdr:colOff>
      <xdr:row>18</xdr:row>
      <xdr:rowOff>206375</xdr:rowOff>
    </xdr:from>
    <xdr:to>
      <xdr:col>22</xdr:col>
      <xdr:colOff>9525</xdr:colOff>
      <xdr:row>20</xdr:row>
      <xdr:rowOff>0</xdr:rowOff>
    </xdr:to>
    <xdr:sp macro="[0]!resettestaxis" textlink="">
      <xdr:nvSpPr>
        <xdr:cNvPr id="7" name="ResetTriRotation">
          <a:extLst>
            <a:ext uri="{FF2B5EF4-FFF2-40B4-BE49-F238E27FC236}">
              <a16:creationId xmlns:a16="http://schemas.microsoft.com/office/drawing/2014/main" id="{F8D0D118-7FE4-4076-B915-23AA6C62EF15}"/>
            </a:ext>
          </a:extLst>
        </xdr:cNvPr>
        <xdr:cNvSpPr/>
      </xdr:nvSpPr>
      <xdr:spPr>
        <a:xfrm>
          <a:off x="8131175" y="5565775"/>
          <a:ext cx="1377950" cy="288925"/>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136525</xdr:colOff>
      <xdr:row>2</xdr:row>
      <xdr:rowOff>235238</xdr:rowOff>
    </xdr:from>
    <xdr:to>
      <xdr:col>10</xdr:col>
      <xdr:colOff>123825</xdr:colOff>
      <xdr:row>13</xdr:row>
      <xdr:rowOff>409576</xdr:rowOff>
    </xdr:to>
    <xdr:graphicFrame macro="">
      <xdr:nvGraphicFramePr>
        <xdr:cNvPr id="2" name="Chart 1">
          <a:extLst>
            <a:ext uri="{FF2B5EF4-FFF2-40B4-BE49-F238E27FC236}">
              <a16:creationId xmlns:a16="http://schemas.microsoft.com/office/drawing/2014/main" id="{F1B9AC23-8875-4AF0-8E8B-D41DF72CF4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1710</xdr:colOff>
      <xdr:row>15</xdr:row>
      <xdr:rowOff>13432</xdr:rowOff>
    </xdr:from>
    <xdr:to>
      <xdr:col>23</xdr:col>
      <xdr:colOff>19050</xdr:colOff>
      <xdr:row>15</xdr:row>
      <xdr:rowOff>476249</xdr:rowOff>
    </xdr:to>
    <xdr:sp macro="[0]!resettestaxis" textlink="">
      <xdr:nvSpPr>
        <xdr:cNvPr id="3" name="Rectangle 2">
          <a:extLst>
            <a:ext uri="{FF2B5EF4-FFF2-40B4-BE49-F238E27FC236}">
              <a16:creationId xmlns:a16="http://schemas.microsoft.com/office/drawing/2014/main" id="{1A563654-EFA7-4FB4-A81B-A518B122BBDD}"/>
            </a:ext>
          </a:extLst>
        </xdr:cNvPr>
        <xdr:cNvSpPr/>
      </xdr:nvSpPr>
      <xdr:spPr>
        <a:xfrm>
          <a:off x="14460660" y="6147532"/>
          <a:ext cx="1731840" cy="462817"/>
        </a:xfrm>
        <a:prstGeom prst="rect">
          <a:avLst/>
        </a:prstGeom>
        <a:solidFill>
          <a:srgbClr val="004650">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latin typeface="Segoe UI" panose="020B0502040204020203" pitchFamily="34" charset="0"/>
            <a:cs typeface="Segoe UI" panose="020B0502040204020203" pitchFamily="34" charset="0"/>
          </a:endParaRPr>
        </a:p>
      </xdr:txBody>
    </xdr:sp>
    <xdr:clientData/>
  </xdr:twoCellAnchor>
  <xdr:twoCellAnchor editAs="oneCell">
    <xdr:from>
      <xdr:col>3</xdr:col>
      <xdr:colOff>141410</xdr:colOff>
      <xdr:row>15</xdr:row>
      <xdr:rowOff>3257</xdr:rowOff>
    </xdr:from>
    <xdr:to>
      <xdr:col>5</xdr:col>
      <xdr:colOff>0</xdr:colOff>
      <xdr:row>16</xdr:row>
      <xdr:rowOff>733</xdr:rowOff>
    </xdr:to>
    <xdr:sp macro="[0]!AdjustAxis" textlink="">
      <xdr:nvSpPr>
        <xdr:cNvPr id="7" name="XRot_+">
          <a:extLst>
            <a:ext uri="{FF2B5EF4-FFF2-40B4-BE49-F238E27FC236}">
              <a16:creationId xmlns:a16="http://schemas.microsoft.com/office/drawing/2014/main" id="{319D182F-F1A5-4DC9-AF08-D1437FE1E87B}"/>
            </a:ext>
          </a:extLst>
        </xdr:cNvPr>
        <xdr:cNvSpPr/>
      </xdr:nvSpPr>
      <xdr:spPr>
        <a:xfrm>
          <a:off x="1084385" y="6137357"/>
          <a:ext cx="1715965" cy="473726"/>
        </a:xfrm>
        <a:prstGeom prst="rect">
          <a:avLst/>
        </a:prstGeom>
        <a:solidFill>
          <a:srgbClr val="00B294">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131883</xdr:colOff>
      <xdr:row>14</xdr:row>
      <xdr:rowOff>272073</xdr:rowOff>
    </xdr:from>
    <xdr:to>
      <xdr:col>7</xdr:col>
      <xdr:colOff>0</xdr:colOff>
      <xdr:row>15</xdr:row>
      <xdr:rowOff>464283</xdr:rowOff>
    </xdr:to>
    <xdr:sp macro="[0]!AdjustAxis" textlink="">
      <xdr:nvSpPr>
        <xdr:cNvPr id="9" name="XRot_-">
          <a:extLst>
            <a:ext uri="{FF2B5EF4-FFF2-40B4-BE49-F238E27FC236}">
              <a16:creationId xmlns:a16="http://schemas.microsoft.com/office/drawing/2014/main" id="{2E11AFF8-E74F-496A-A5A7-DEB1183224A9}"/>
            </a:ext>
          </a:extLst>
        </xdr:cNvPr>
        <xdr:cNvSpPr/>
      </xdr:nvSpPr>
      <xdr:spPr>
        <a:xfrm>
          <a:off x="2932233" y="6120423"/>
          <a:ext cx="1725492" cy="477960"/>
        </a:xfrm>
        <a:prstGeom prst="rect">
          <a:avLst/>
        </a:prstGeom>
        <a:solidFill>
          <a:srgbClr val="00B294">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10</xdr:col>
      <xdr:colOff>8059</xdr:colOff>
      <xdr:row>14</xdr:row>
      <xdr:rowOff>275981</xdr:rowOff>
    </xdr:from>
    <xdr:to>
      <xdr:col>12</xdr:col>
      <xdr:colOff>0</xdr:colOff>
      <xdr:row>15</xdr:row>
      <xdr:rowOff>465015</xdr:rowOff>
    </xdr:to>
    <xdr:sp macro="[0]!AdjustAxis" textlink="">
      <xdr:nvSpPr>
        <xdr:cNvPr id="11" name="YRot_+">
          <a:extLst>
            <a:ext uri="{FF2B5EF4-FFF2-40B4-BE49-F238E27FC236}">
              <a16:creationId xmlns:a16="http://schemas.microsoft.com/office/drawing/2014/main" id="{AABC1B2F-1395-4AC6-A58B-6C1EFB812004}"/>
            </a:ext>
          </a:extLst>
        </xdr:cNvPr>
        <xdr:cNvSpPr/>
      </xdr:nvSpPr>
      <xdr:spPr>
        <a:xfrm>
          <a:off x="5218234" y="6124331"/>
          <a:ext cx="1706441" cy="474784"/>
        </a:xfrm>
        <a:prstGeom prst="rect">
          <a:avLst/>
        </a:prstGeom>
        <a:solidFill>
          <a:srgbClr val="96BF00">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4396</xdr:colOff>
      <xdr:row>14</xdr:row>
      <xdr:rowOff>283308</xdr:rowOff>
    </xdr:from>
    <xdr:to>
      <xdr:col>14</xdr:col>
      <xdr:colOff>0</xdr:colOff>
      <xdr:row>15</xdr:row>
      <xdr:rowOff>455490</xdr:rowOff>
    </xdr:to>
    <xdr:sp macro="[0]!AdjustAxis" textlink="">
      <xdr:nvSpPr>
        <xdr:cNvPr id="12" name="YRot_-">
          <a:extLst>
            <a:ext uri="{FF2B5EF4-FFF2-40B4-BE49-F238E27FC236}">
              <a16:creationId xmlns:a16="http://schemas.microsoft.com/office/drawing/2014/main" id="{C3C2C977-2813-475D-AC16-6E2C5E2325D7}"/>
            </a:ext>
          </a:extLst>
        </xdr:cNvPr>
        <xdr:cNvSpPr/>
      </xdr:nvSpPr>
      <xdr:spPr>
        <a:xfrm>
          <a:off x="7071946" y="6131658"/>
          <a:ext cx="1710104" cy="457932"/>
        </a:xfrm>
        <a:prstGeom prst="rect">
          <a:avLst/>
        </a:prstGeom>
        <a:solidFill>
          <a:srgbClr val="96BF00">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17</xdr:col>
      <xdr:colOff>11234</xdr:colOff>
      <xdr:row>15</xdr:row>
      <xdr:rowOff>16363</xdr:rowOff>
    </xdr:from>
    <xdr:to>
      <xdr:col>18</xdr:col>
      <xdr:colOff>9525</xdr:colOff>
      <xdr:row>15</xdr:row>
      <xdr:rowOff>468923</xdr:rowOff>
    </xdr:to>
    <xdr:sp macro="[0]!AdjustAxis" textlink="">
      <xdr:nvSpPr>
        <xdr:cNvPr id="13" name="ZRot_+">
          <a:extLst>
            <a:ext uri="{FF2B5EF4-FFF2-40B4-BE49-F238E27FC236}">
              <a16:creationId xmlns:a16="http://schemas.microsoft.com/office/drawing/2014/main" id="{E06E9FEB-0064-4F28-815C-E58385BAD367}"/>
            </a:ext>
          </a:extLst>
        </xdr:cNvPr>
        <xdr:cNvSpPr/>
      </xdr:nvSpPr>
      <xdr:spPr>
        <a:xfrm>
          <a:off x="9374309" y="6150463"/>
          <a:ext cx="1712791" cy="452560"/>
        </a:xfrm>
        <a:prstGeom prst="rect">
          <a:avLst/>
        </a:prstGeom>
        <a:solidFill>
          <a:srgbClr val="0078D7">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19</xdr:col>
      <xdr:colOff>1708</xdr:colOff>
      <xdr:row>14</xdr:row>
      <xdr:rowOff>280865</xdr:rowOff>
    </xdr:from>
    <xdr:to>
      <xdr:col>19</xdr:col>
      <xdr:colOff>1704975</xdr:colOff>
      <xdr:row>16</xdr:row>
      <xdr:rowOff>8548</xdr:rowOff>
    </xdr:to>
    <xdr:sp macro="[0]!AdjustAxis" textlink="">
      <xdr:nvSpPr>
        <xdr:cNvPr id="14" name="ZRot_-">
          <a:extLst>
            <a:ext uri="{FF2B5EF4-FFF2-40B4-BE49-F238E27FC236}">
              <a16:creationId xmlns:a16="http://schemas.microsoft.com/office/drawing/2014/main" id="{FE80126C-81B2-459F-8233-E867E8EAF3C4}"/>
            </a:ext>
          </a:extLst>
        </xdr:cNvPr>
        <xdr:cNvSpPr/>
      </xdr:nvSpPr>
      <xdr:spPr>
        <a:xfrm>
          <a:off x="11222158" y="6129215"/>
          <a:ext cx="1703267" cy="489683"/>
        </a:xfrm>
        <a:prstGeom prst="rect">
          <a:avLst/>
        </a:prstGeom>
        <a:solidFill>
          <a:srgbClr val="0078D7">
            <a:alpha val="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0</xdr:colOff>
      <xdr:row>2</xdr:row>
      <xdr:rowOff>235237</xdr:rowOff>
    </xdr:from>
    <xdr:to>
      <xdr:col>23</xdr:col>
      <xdr:colOff>266700</xdr:colOff>
      <xdr:row>14</xdr:row>
      <xdr:rowOff>47624</xdr:rowOff>
    </xdr:to>
    <xdr:graphicFrame macro="">
      <xdr:nvGraphicFramePr>
        <xdr:cNvPr id="10" name="Chart 9">
          <a:extLst>
            <a:ext uri="{FF2B5EF4-FFF2-40B4-BE49-F238E27FC236}">
              <a16:creationId xmlns:a16="http://schemas.microsoft.com/office/drawing/2014/main" id="{236CD026-D228-4E8C-BD0C-CDD1D02286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icrosoft-my.sharepoint.com/personal/v-jefcol_microsoft_com/Documents/Workbooks%20-%20TRUTH/ISTE-Shark/Control%20shark%20movement%20v04_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microsoft-my.sharepoint.com/personal/v-jefcol_microsoft_com/Documents/ISTE/How%20Sharks%20swim/shark%20game%2006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ark Graphing"/>
      <sheetName val="Animal Graphing"/>
      <sheetName val="Shadow Graphing"/>
      <sheetName val="Background Graphing"/>
      <sheetName val="Setup"/>
      <sheetName val="Cage Graphing"/>
      <sheetName val="Instructions"/>
      <sheetName val="TT"/>
      <sheetName val="Joystick Controller Test"/>
      <sheetName val="Virtual Marine Environment"/>
      <sheetName val="Data In"/>
      <sheetName val="Data Out"/>
      <sheetName val="Settings"/>
      <sheetName val="Gauge Work"/>
    </sheetNames>
    <sheetDataSet>
      <sheetData sheetId="0" refreshError="1"/>
      <sheetData sheetId="1" refreshError="1"/>
      <sheetData sheetId="2" refreshError="1"/>
      <sheetData sheetId="3">
        <row r="2">
          <cell r="C2">
            <v>15</v>
          </cell>
        </row>
        <row r="3">
          <cell r="C3">
            <v>-20</v>
          </cell>
        </row>
        <row r="4">
          <cell r="C4">
            <v>195.59999999999997</v>
          </cell>
        </row>
        <row r="5">
          <cell r="C5">
            <v>0</v>
          </cell>
        </row>
        <row r="6">
          <cell r="C6">
            <v>-2</v>
          </cell>
        </row>
      </sheetData>
      <sheetData sheetId="4">
        <row r="3">
          <cell r="B3">
            <v>0</v>
          </cell>
        </row>
        <row r="4">
          <cell r="B4">
            <v>0</v>
          </cell>
        </row>
        <row r="9">
          <cell r="B9">
            <v>0</v>
          </cell>
        </row>
        <row r="10">
          <cell r="B10">
            <v>0</v>
          </cell>
        </row>
        <row r="11">
          <cell r="B11">
            <v>0</v>
          </cell>
        </row>
        <row r="12">
          <cell r="B12">
            <v>0</v>
          </cell>
        </row>
        <row r="13">
          <cell r="B13">
            <v>0</v>
          </cell>
        </row>
        <row r="14">
          <cell r="B14">
            <v>0</v>
          </cell>
        </row>
        <row r="15">
          <cell r="B15">
            <v>20</v>
          </cell>
        </row>
        <row r="16">
          <cell r="B16">
            <v>0</v>
          </cell>
        </row>
        <row r="17">
          <cell r="B17">
            <v>-10.5</v>
          </cell>
        </row>
        <row r="18">
          <cell r="B18">
            <v>20</v>
          </cell>
        </row>
        <row r="19">
          <cell r="B19">
            <v>0</v>
          </cell>
        </row>
        <row r="20">
          <cell r="B20">
            <v>-10.5</v>
          </cell>
          <cell r="F20">
            <v>-60</v>
          </cell>
          <cell r="G20">
            <v>0</v>
          </cell>
          <cell r="H20">
            <v>45</v>
          </cell>
        </row>
        <row r="21">
          <cell r="F21">
            <v>-0.8660254037844386</v>
          </cell>
          <cell r="G21">
            <v>0</v>
          </cell>
          <cell r="H21">
            <v>0.70710678118654746</v>
          </cell>
        </row>
        <row r="22">
          <cell r="B22">
            <v>0</v>
          </cell>
          <cell r="F22">
            <v>0.50000000000000011</v>
          </cell>
          <cell r="G22">
            <v>1</v>
          </cell>
          <cell r="H22">
            <v>0.70710678118654757</v>
          </cell>
        </row>
        <row r="23">
          <cell r="B23">
            <v>0</v>
          </cell>
          <cell r="F23">
            <v>0.70710678118654757</v>
          </cell>
          <cell r="G23">
            <v>-0.42426406871192845</v>
          </cell>
          <cell r="H23">
            <v>0</v>
          </cell>
        </row>
        <row r="24">
          <cell r="B24">
            <v>0</v>
          </cell>
          <cell r="F24">
            <v>0.35355339059327379</v>
          </cell>
          <cell r="G24">
            <v>0.21213203435596431</v>
          </cell>
          <cell r="H24">
            <v>0.34641016151377546</v>
          </cell>
        </row>
        <row r="25">
          <cell r="F25">
            <v>20</v>
          </cell>
          <cell r="G25">
            <v>-15</v>
          </cell>
          <cell r="H25">
            <v>-20</v>
          </cell>
        </row>
        <row r="26">
          <cell r="B26"/>
          <cell r="F26">
            <v>50</v>
          </cell>
          <cell r="G26">
            <v>30</v>
          </cell>
          <cell r="H26">
            <v>20</v>
          </cell>
        </row>
        <row r="27">
          <cell r="B27">
            <v>0</v>
          </cell>
          <cell r="F27">
            <v>1</v>
          </cell>
          <cell r="G27">
            <v>0.6</v>
          </cell>
          <cell r="H27">
            <v>0.4</v>
          </cell>
        </row>
        <row r="29">
          <cell r="B29"/>
        </row>
      </sheetData>
      <sheetData sheetId="5" refreshError="1"/>
      <sheetData sheetId="6">
        <row r="2">
          <cell r="A2" t="str">
            <v>Instructions</v>
          </cell>
        </row>
      </sheetData>
      <sheetData sheetId="7"/>
      <sheetData sheetId="8">
        <row r="2">
          <cell r="A2" t="str">
            <v>Joystick Controller Test</v>
          </cell>
        </row>
      </sheetData>
      <sheetData sheetId="9">
        <row r="2">
          <cell r="A2" t="str">
            <v>Virtual Marine Environment</v>
          </cell>
        </row>
      </sheetData>
      <sheetData sheetId="10" refreshError="1"/>
      <sheetData sheetId="11" refreshError="1"/>
      <sheetData sheetId="12" refreshError="1"/>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ark Graphing"/>
      <sheetName val="Animal Graphing"/>
      <sheetName val="Shadow Graphing"/>
      <sheetName val="Background Graphing"/>
      <sheetName val="Setup"/>
      <sheetName val="Cage Graphing"/>
      <sheetName val="XYZ teaching page"/>
      <sheetName val="Shark orientation"/>
      <sheetName val="Game Sheet"/>
      <sheetName val="Rotating Axis"/>
      <sheetName val="Data In"/>
      <sheetName val="Data Out"/>
      <sheetName val="Settings"/>
      <sheetName val="Gauge Work"/>
    </sheetNames>
    <sheetDataSet>
      <sheetData sheetId="0"/>
      <sheetData sheetId="1"/>
      <sheetData sheetId="2"/>
      <sheetData sheetId="3"/>
      <sheetData sheetId="4">
        <row r="29">
          <cell r="B29" t="b">
            <v>0</v>
          </cell>
        </row>
      </sheetData>
      <sheetData sheetId="5"/>
      <sheetData sheetId="6"/>
      <sheetData sheetId="7"/>
      <sheetData sheetId="8"/>
      <sheetData sheetId="9"/>
      <sheetData sheetId="10"/>
      <sheetData sheetId="11"/>
      <sheetData sheetId="12"/>
      <sheetData sheetId="1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B464DE8-950C-48F4-8EC3-B8388227BB40}" name="XYZCoords1" displayName="XYZCoords1" ref="G2:L9" totalsRowShown="0">
  <autoFilter ref="G2:L9" xr:uid="{05893B30-D1C7-4A90-8810-EBB1471A7CBC}"/>
  <tableColumns count="6">
    <tableColumn id="1" xr3:uid="{2FA0E8E4-1376-4321-B5DB-CAEF806987E1}" name="Label"/>
    <tableColumn id="2" xr3:uid="{444C5733-882D-4F9D-861C-A9B27A461799}" name="X"/>
    <tableColumn id="3" xr3:uid="{B9DEA561-C2E4-4EDB-A423-E64A76F52461}" name="Y"/>
    <tableColumn id="4" xr3:uid="{EB6C0FE4-3749-4E77-8731-F80D2EB1D2A0}" name="Z"/>
    <tableColumn id="5" xr3:uid="{FA62E6DC-6354-4F26-A29E-C3D229C15792}" name="Graph X" dataDxfId="9">
      <calculatedColumnFormula>SUMPRODUCT(XYZCoords1[[#This Row],[X]:[Z]],$C$8:$E$8)</calculatedColumnFormula>
    </tableColumn>
    <tableColumn id="6" xr3:uid="{2487C6F7-1754-4089-B6F7-69A90F5F3E15}" name="Graph Y" dataDxfId="8">
      <calculatedColumnFormula>SUMPRODUCT(XYZCoords1[[#This Row],[X]:[Z]],$C$9:$E$9)</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F616D42-3127-4149-9ED7-E385EEF972B0}" name="RotationVal" displayName="RotationVal" ref="B2:E9" totalsRowShown="0">
  <autoFilter ref="B2:E9" xr:uid="{3129B81F-EAF6-4ADF-8F15-0AE2927F39CD}"/>
  <tableColumns count="4">
    <tableColumn id="1" xr3:uid="{0DDB4A64-B741-49D3-BF76-A3B807C4F57E}" name="Label"/>
    <tableColumn id="2" xr3:uid="{E8548687-8F21-49F6-886E-737E43797F72}" name="X val"/>
    <tableColumn id="3" xr3:uid="{99341314-E7B0-4B14-9C30-21D15DC55E11}" name="Y val"/>
    <tableColumn id="4" xr3:uid="{90B79211-9B07-46A3-896B-D38712208133}" name="Z val"/>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819B2E3-F661-4851-8D8A-C453CFCD4F6D}" name="Table1" displayName="Table1" ref="N2:P10" totalsRowShown="0">
  <autoFilter ref="N2:P10" xr:uid="{91642957-899D-4DC6-B756-5EB7098A9FAA}"/>
  <tableColumns count="3">
    <tableColumn id="1" xr3:uid="{2E31D4B8-2B2F-4A3D-8F7E-7ABC16CF47EA}" name="Point"/>
    <tableColumn id="2" xr3:uid="{9AF993D8-128E-4B3E-BE08-AC5B689C5B76}" name="Graph X" dataDxfId="7">
      <calculatedColumnFormula>VLOOKUP(Table1[[#This Row],[Point]],XYZCoords1[],5,0)</calculatedColumnFormula>
    </tableColumn>
    <tableColumn id="3" xr3:uid="{B0B3B0CB-C3E3-43D3-9D3D-98CB30669CFA}" name="Graph Y" dataDxfId="6">
      <calculatedColumnFormula>VLOOKUP(Table1[[#This Row],[Point]],XYZCoords1[],6,0)</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A714255-800D-4263-A527-841D777DB3C9}" name="XYZCoords2" displayName="XYZCoords2" ref="G14:L21" totalsRowShown="0">
  <autoFilter ref="G14:L21" xr:uid="{FE127D82-2253-49B4-B760-9E98131676D1}"/>
  <tableColumns count="6">
    <tableColumn id="1" xr3:uid="{E95EE67D-11C5-41C4-A5F6-95F1C6855F40}" name="Label"/>
    <tableColumn id="2" xr3:uid="{7C79077A-7366-4813-A1BF-6CBE4A5D399F}" name="X"/>
    <tableColumn id="3" xr3:uid="{3D7EEA5A-28B6-4946-B396-4C83B47A64A7}" name="Y"/>
    <tableColumn id="4" xr3:uid="{BAFBF5E4-B08D-4CD5-9BD5-C5359ED69753}" name="Z"/>
    <tableColumn id="5" xr3:uid="{D506F7BC-6298-4C33-AA7C-C1F9AF26D4FF}" name="Graph X" dataDxfId="5">
      <calculatedColumnFormula>SUMPRODUCT(XYZCoords2[[#This Row],[X]:[Z]],$C$20:$E$20)</calculatedColumnFormula>
    </tableColumn>
    <tableColumn id="6" xr3:uid="{7D5854EB-89BF-4929-925C-ADF70EB266C2}" name="Graph Y" dataDxfId="4">
      <calculatedColumnFormula>SUMPRODUCT(XYZCoords2[[#This Row],[X]:[Z]],$C$21:$E$21)</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192D59-CA80-4ED4-A855-B07F1FDC219A}" name="RotationVal7" displayName="RotationVal7" ref="B14:E21" totalsRowShown="0">
  <autoFilter ref="B14:E21" xr:uid="{8DF6A5D9-F62E-42E2-8B76-C4B83C751D0A}"/>
  <tableColumns count="4">
    <tableColumn id="1" xr3:uid="{4C19B14C-C875-4238-8395-E2C9F8B44DCF}" name="Label"/>
    <tableColumn id="2" xr3:uid="{8103A9FC-21A3-43AF-9861-75E1508DFB6B}" name="X val"/>
    <tableColumn id="3" xr3:uid="{17B7CCCB-DC87-4034-A539-F092496F8D74}" name="Y val"/>
    <tableColumn id="4" xr3:uid="{005B7CBA-87B2-4850-9A9E-350553DA40DC}" name="Z val"/>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71336E3-2088-4A54-93BA-B36BB3E94ED1}" name="Table18" displayName="Table18" ref="N14:P22" totalsRowShown="0">
  <autoFilter ref="N14:P22" xr:uid="{B942977B-7A07-4991-8477-CC05B5EAF869}"/>
  <tableColumns count="3">
    <tableColumn id="1" xr3:uid="{143E6FCA-B776-4FD9-83A8-649003DB70E6}" name="Point"/>
    <tableColumn id="2" xr3:uid="{1CCF9082-28E9-4FEB-9DCE-4496589E0CF5}" name="Graph X" dataDxfId="3">
      <calculatedColumnFormula>VLOOKUP(Table18[[#This Row],[Point]],XYZCoords2[],5,0)</calculatedColumnFormula>
    </tableColumn>
    <tableColumn id="3" xr3:uid="{D4975705-DDF2-449F-8DFE-6958107F28B5}" name="Graph Y" dataDxfId="2">
      <calculatedColumnFormula>VLOOKUP(Table18[[#This Row],[Point]],XYZCoords2[],6,0)</calculatedColumnFormula>
    </tableColumn>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20D451-3C36-4396-BD3B-22D3893B1735}" name="TT" displayName="TT" ref="B2:O50" totalsRowShown="0">
  <autoFilter ref="B2:O50" xr:uid="{C3162669-8A10-4FA4-A594-DC70D858109B}"/>
  <tableColumns count="14">
    <tableColumn id="1" xr3:uid="{51902B05-A5BA-4790-9B98-C04D635343AC}" name="Row">
      <calculatedColumnFormula>ROW()</calculatedColumnFormula>
    </tableColumn>
    <tableColumn id="2" xr3:uid="{467F5CB3-35F3-4330-A865-CF16AB9438B9}" name="Tab"/>
    <tableColumn id="3" xr3:uid="{01808127-3D17-4C50-9422-36DCE140154B}" name="Location" dataDxfId="1">
      <calculatedColumnFormula>"Shark1_"&amp;TT[[#This Row],[Tab]]</calculatedColumnFormula>
    </tableColumn>
    <tableColumn id="4" xr3:uid="{C9B503EB-E356-42AF-9AF0-B8BB8F7748DE}" name="Language 1"/>
    <tableColumn id="5" xr3:uid="{307DA5A1-85CA-48D9-847D-C8B3AA13C530}" name="Language 2"/>
    <tableColumn id="6" xr3:uid="{599F9312-4BE2-429D-B74E-7F8F063B4C67}" name="Language 3"/>
    <tableColumn id="7" xr3:uid="{F85FCE47-D0A8-4063-A669-95DA0443DAE2}" name="Language 4"/>
    <tableColumn id="8" xr3:uid="{685AADBA-2C30-459E-8925-281FCEB83364}" name="Language 5"/>
    <tableColumn id="9" xr3:uid="{C5064920-36DD-4F2D-8A95-34175AF668B8}" name="Language 6"/>
    <tableColumn id="10" xr3:uid="{E9DD07CD-A466-4F25-B259-056A929601C9}" name="Language 7"/>
    <tableColumn id="11" xr3:uid="{6419D317-7B90-40E0-921A-2A0F0FA7B394}" name="Language 8"/>
    <tableColumn id="12" xr3:uid="{C6039D73-4BCB-4161-85D4-573E8BDB3AC6}" name="Language 9"/>
    <tableColumn id="13" xr3:uid="{E2777921-1A65-42AE-A4E5-8C197CBE8F30}" name="Language 10"/>
    <tableColumn id="14" xr3:uid="{74DAD3E9-64B5-42A3-BA39-939BDFEC5CDD}" name="Display" dataDxfId="0">
      <calculatedColumnFormula>INDEX(TT[[#This Row],[Language 1]:[Language 10]],1,LanguageSelect)</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0CFEE-B371-42CE-A21C-0E5138C8C8C6}">
  <sheetPr codeName="Sheet1"/>
  <dimension ref="B2:S22"/>
  <sheetViews>
    <sheetView workbookViewId="0">
      <selection activeCell="V2" sqref="V2"/>
    </sheetView>
  </sheetViews>
  <sheetFormatPr defaultRowHeight="15" x14ac:dyDescent="0.25"/>
  <cols>
    <col min="2" max="2" width="14.7109375" customWidth="1"/>
    <col min="15" max="16" width="10.140625" customWidth="1"/>
  </cols>
  <sheetData>
    <row r="2" spans="2:19" x14ac:dyDescent="0.25">
      <c r="B2" t="s">
        <v>15</v>
      </c>
      <c r="C2" t="s">
        <v>14</v>
      </c>
      <c r="D2" t="s">
        <v>13</v>
      </c>
      <c r="E2" t="s">
        <v>12</v>
      </c>
      <c r="G2" t="s">
        <v>15</v>
      </c>
      <c r="H2" t="s">
        <v>20</v>
      </c>
      <c r="I2" t="s">
        <v>19</v>
      </c>
      <c r="J2" t="s">
        <v>18</v>
      </c>
      <c r="K2" t="s">
        <v>17</v>
      </c>
      <c r="L2" t="s">
        <v>16</v>
      </c>
      <c r="N2" t="s">
        <v>46</v>
      </c>
      <c r="O2" t="s">
        <v>17</v>
      </c>
      <c r="P2" t="s">
        <v>16</v>
      </c>
    </row>
    <row r="3" spans="2:19" x14ac:dyDescent="0.25">
      <c r="B3" t="s">
        <v>59</v>
      </c>
      <c r="C3">
        <f>'Data In'!B$5*5</f>
        <v>0</v>
      </c>
      <c r="D3">
        <f>'Data In'!C$5*5</f>
        <v>0</v>
      </c>
      <c r="E3">
        <f>'Data In'!D$5*5</f>
        <v>0</v>
      </c>
      <c r="G3" s="1" t="s">
        <v>11</v>
      </c>
      <c r="H3">
        <v>0.5</v>
      </c>
      <c r="I3">
        <v>0</v>
      </c>
      <c r="J3">
        <v>0</v>
      </c>
      <c r="K3">
        <f>SUMPRODUCT(XYZCoords1[[#This Row],[X]:[Z]],$C$8:$E$8)</f>
        <v>0.5</v>
      </c>
      <c r="L3">
        <f>SUMPRODUCT(XYZCoords1[[#This Row],[X]:[Z]],$C$9:$E$9)</f>
        <v>0</v>
      </c>
      <c r="N3" t="s">
        <v>11</v>
      </c>
      <c r="O3">
        <f>VLOOKUP(Table1[[#This Row],[Point]],XYZCoords1[],5,0)</f>
        <v>0.5</v>
      </c>
      <c r="P3">
        <f>VLOOKUP(Table1[[#This Row],[Point]],XYZCoords1[],6,0)</f>
        <v>0</v>
      </c>
    </row>
    <row r="4" spans="2:19" x14ac:dyDescent="0.25">
      <c r="B4" t="s">
        <v>60</v>
      </c>
      <c r="C4">
        <f>'Data In'!E$5</f>
        <v>0</v>
      </c>
      <c r="D4">
        <f>'Data In'!F$5</f>
        <v>0</v>
      </c>
      <c r="E4">
        <f>'Data In'!G$5</f>
        <v>0</v>
      </c>
      <c r="G4" s="1" t="s">
        <v>9</v>
      </c>
      <c r="H4">
        <v>-0.5</v>
      </c>
      <c r="I4">
        <v>0</v>
      </c>
      <c r="J4">
        <v>0</v>
      </c>
      <c r="K4">
        <f>SUMPRODUCT(XYZCoords1[[#This Row],[X]:[Z]],$C$8:$E$8)</f>
        <v>-0.5</v>
      </c>
      <c r="L4">
        <f>SUMPRODUCT(XYZCoords1[[#This Row],[X]:[Z]],$C$9:$E$9)</f>
        <v>0</v>
      </c>
      <c r="N4" t="s">
        <v>7</v>
      </c>
      <c r="O4">
        <f>VLOOKUP(Table1[[#This Row],[Point]],XYZCoords1[],5,0)</f>
        <v>0</v>
      </c>
      <c r="P4">
        <f>VLOOKUP(Table1[[#This Row],[Point]],XYZCoords1[],6,0)</f>
        <v>0</v>
      </c>
    </row>
    <row r="5" spans="2:19" x14ac:dyDescent="0.25">
      <c r="B5" t="s">
        <v>10</v>
      </c>
      <c r="C5">
        <f>SUM(C3:C4)</f>
        <v>0</v>
      </c>
      <c r="D5">
        <f>SUM(D3:D4)</f>
        <v>0</v>
      </c>
      <c r="E5">
        <f>SUM(E3:E4)</f>
        <v>0</v>
      </c>
      <c r="G5" s="1" t="s">
        <v>7</v>
      </c>
      <c r="H5">
        <v>0</v>
      </c>
      <c r="I5">
        <v>0</v>
      </c>
      <c r="J5">
        <v>0</v>
      </c>
      <c r="K5">
        <f>SUMPRODUCT(XYZCoords1[[#This Row],[X]:[Z]],$C$8:$E$8)</f>
        <v>0</v>
      </c>
      <c r="L5">
        <f>SUMPRODUCT(XYZCoords1[[#This Row],[X]:[Z]],$C$9:$E$9)</f>
        <v>0</v>
      </c>
      <c r="N5" t="s">
        <v>5</v>
      </c>
      <c r="O5">
        <f>VLOOKUP(Table1[[#This Row],[Point]],XYZCoords1[],5,0)</f>
        <v>0</v>
      </c>
      <c r="P5">
        <f>VLOOKUP(Table1[[#This Row],[Point]],XYZCoords1[],6,0)</f>
        <v>0.5</v>
      </c>
    </row>
    <row r="6" spans="2:19" ht="16.5" x14ac:dyDescent="0.3">
      <c r="B6" t="s">
        <v>8</v>
      </c>
      <c r="C6">
        <f>SIN(RADIANS(C5))</f>
        <v>0</v>
      </c>
      <c r="D6">
        <f>SIN(RADIANS(D5))</f>
        <v>0</v>
      </c>
      <c r="E6">
        <f>SIN(RADIANS(E5))</f>
        <v>0</v>
      </c>
      <c r="G6" s="1" t="s">
        <v>5</v>
      </c>
      <c r="H6">
        <v>0</v>
      </c>
      <c r="I6">
        <v>0.5</v>
      </c>
      <c r="J6">
        <v>0</v>
      </c>
      <c r="K6">
        <f>SUMPRODUCT(XYZCoords1[[#This Row],[X]:[Z]],$C$8:$E$8)</f>
        <v>0</v>
      </c>
      <c r="L6">
        <f>SUMPRODUCT(XYZCoords1[[#This Row],[X]:[Z]],$C$9:$E$9)</f>
        <v>0.5</v>
      </c>
      <c r="N6" t="s">
        <v>11</v>
      </c>
      <c r="O6">
        <f>VLOOKUP(Table1[[#This Row],[Point]],XYZCoords1[],5,0)</f>
        <v>0.5</v>
      </c>
      <c r="P6">
        <f>VLOOKUP(Table1[[#This Row],[Point]],XYZCoords1[],6,0)</f>
        <v>0</v>
      </c>
      <c r="R6" t="s">
        <v>61</v>
      </c>
      <c r="S6" s="46" t="str">
        <f>'Polygon Rotation'!R7&amp;" ("&amp;ROUND('Polygon Rotation'!T7,1)&amp;","&amp;ROUND('Polygon Rotation'!V7,1)&amp;")"</f>
        <v>A' (1,2)</v>
      </c>
    </row>
    <row r="7" spans="2:19" ht="16.5" x14ac:dyDescent="0.3">
      <c r="B7" t="s">
        <v>6</v>
      </c>
      <c r="C7">
        <f>COS(RADIANS(C5))</f>
        <v>1</v>
      </c>
      <c r="D7">
        <f>COS(RADIANS(D5))</f>
        <v>1</v>
      </c>
      <c r="E7">
        <f>COS(RADIANS(E5))</f>
        <v>1</v>
      </c>
      <c r="G7" s="1" t="s">
        <v>3</v>
      </c>
      <c r="H7">
        <v>0</v>
      </c>
      <c r="I7">
        <v>-0.5</v>
      </c>
      <c r="J7">
        <v>0</v>
      </c>
      <c r="K7">
        <f>SUMPRODUCT(XYZCoords1[[#This Row],[X]:[Z]],$C$8:$E$8)</f>
        <v>0</v>
      </c>
      <c r="L7">
        <f>SUMPRODUCT(XYZCoords1[[#This Row],[X]:[Z]],$C$9:$E$9)</f>
        <v>-0.5</v>
      </c>
      <c r="N7" t="s">
        <v>1</v>
      </c>
      <c r="O7">
        <f>VLOOKUP(Table1[[#This Row],[Point]],XYZCoords1[],5,0)</f>
        <v>0</v>
      </c>
      <c r="P7">
        <f>VLOOKUP(Table1[[#This Row],[Point]],XYZCoords1[],6,0)</f>
        <v>0</v>
      </c>
      <c r="R7" t="s">
        <v>62</v>
      </c>
      <c r="S7" s="46" t="str">
        <f>'Polygon Rotation'!R10&amp;" ("&amp;ROUND('Polygon Rotation'!T10,1)&amp;","&amp;ROUND('Polygon Rotation'!V10,1)&amp;")"</f>
        <v>B' (2,1)</v>
      </c>
    </row>
    <row r="8" spans="2:19" ht="16.5" x14ac:dyDescent="0.3">
      <c r="B8" t="s">
        <v>4</v>
      </c>
      <c r="C8">
        <f>D7*E7</f>
        <v>1</v>
      </c>
      <c r="D8">
        <f>-E6*D7</f>
        <v>0</v>
      </c>
      <c r="E8">
        <f>D6</f>
        <v>0</v>
      </c>
      <c r="G8" s="1" t="s">
        <v>1</v>
      </c>
      <c r="H8">
        <v>0</v>
      </c>
      <c r="I8">
        <v>0</v>
      </c>
      <c r="J8">
        <v>0.5</v>
      </c>
      <c r="K8">
        <f>SUMPRODUCT(XYZCoords1[[#This Row],[X]:[Z]],$C$8:$E$8)</f>
        <v>0</v>
      </c>
      <c r="L8">
        <f>SUMPRODUCT(XYZCoords1[[#This Row],[X]:[Z]],$C$9:$E$9)</f>
        <v>0</v>
      </c>
      <c r="N8" t="s">
        <v>7</v>
      </c>
      <c r="O8">
        <f>VLOOKUP(Table1[[#This Row],[Point]],XYZCoords1[],5,0)</f>
        <v>0</v>
      </c>
      <c r="P8">
        <f>VLOOKUP(Table1[[#This Row],[Point]],XYZCoords1[],6,0)</f>
        <v>0</v>
      </c>
      <c r="R8" t="s">
        <v>63</v>
      </c>
      <c r="S8" s="46" t="str">
        <f>'Polygon Rotation'!R13&amp;" ("&amp;ROUND('Polygon Rotation'!T13,1)&amp;","&amp;ROUND('Polygon Rotation'!V13,1)&amp;")"</f>
        <v>C' (1,1)</v>
      </c>
    </row>
    <row r="9" spans="2:19" ht="16.5" x14ac:dyDescent="0.3">
      <c r="B9" t="s">
        <v>2</v>
      </c>
      <c r="C9">
        <f>(E7*D6*C6+E6*C7)</f>
        <v>0</v>
      </c>
      <c r="D9">
        <f>(-C6*D6*E6+C7*E7)</f>
        <v>1</v>
      </c>
      <c r="E9">
        <f>-D7*C6</f>
        <v>0</v>
      </c>
      <c r="G9" s="1" t="s">
        <v>0</v>
      </c>
      <c r="H9">
        <v>0</v>
      </c>
      <c r="I9">
        <v>0</v>
      </c>
      <c r="J9">
        <v>-0.5</v>
      </c>
      <c r="K9" s="26">
        <f>SUMPRODUCT(XYZCoords1[[#This Row],[X]:[Z]],$C$8:$E$8)</f>
        <v>0</v>
      </c>
      <c r="L9" s="26">
        <f>SUMPRODUCT(XYZCoords1[[#This Row],[X]:[Z]],$C$9:$E$9)</f>
        <v>0</v>
      </c>
      <c r="N9" t="s">
        <v>5</v>
      </c>
      <c r="O9">
        <f>VLOOKUP(Table1[[#This Row],[Point]],XYZCoords1[],5,0)</f>
        <v>0</v>
      </c>
      <c r="P9">
        <f>VLOOKUP(Table1[[#This Row],[Point]],XYZCoords1[],6,0)</f>
        <v>0.5</v>
      </c>
      <c r="R9" t="s">
        <v>61</v>
      </c>
      <c r="S9" s="46" t="str">
        <f>'Polygon Rotation'!R7&amp;" ("&amp;ROUND('Polygon Rotation'!T7,1)&amp;","&amp;ROUND('Polygon Rotation'!V7,1)&amp;")"</f>
        <v>A' (1,2)</v>
      </c>
    </row>
    <row r="10" spans="2:19" ht="16.5" x14ac:dyDescent="0.3">
      <c r="K10" s="26"/>
      <c r="L10" s="26"/>
      <c r="N10" t="s">
        <v>1</v>
      </c>
      <c r="O10">
        <f>VLOOKUP(Table1[[#This Row],[Point]],XYZCoords1[],5,0)</f>
        <v>0</v>
      </c>
      <c r="P10">
        <f>VLOOKUP(Table1[[#This Row],[Point]],XYZCoords1[],6,0)</f>
        <v>0</v>
      </c>
      <c r="S10" s="46"/>
    </row>
    <row r="11" spans="2:19" ht="16.5" x14ac:dyDescent="0.3">
      <c r="G11" s="1"/>
      <c r="S11" s="46"/>
    </row>
    <row r="14" spans="2:19" x14ac:dyDescent="0.25">
      <c r="B14" t="s">
        <v>15</v>
      </c>
      <c r="C14" t="s">
        <v>14</v>
      </c>
      <c r="D14" t="s">
        <v>13</v>
      </c>
      <c r="E14" t="s">
        <v>12</v>
      </c>
      <c r="G14" t="s">
        <v>15</v>
      </c>
      <c r="H14" t="s">
        <v>20</v>
      </c>
      <c r="I14" t="s">
        <v>19</v>
      </c>
      <c r="J14" t="s">
        <v>18</v>
      </c>
      <c r="K14" t="s">
        <v>17</v>
      </c>
      <c r="L14" t="s">
        <v>16</v>
      </c>
      <c r="N14" t="s">
        <v>46</v>
      </c>
      <c r="O14" t="s">
        <v>17</v>
      </c>
      <c r="P14" t="s">
        <v>16</v>
      </c>
    </row>
    <row r="15" spans="2:19" x14ac:dyDescent="0.25">
      <c r="B15" t="s">
        <v>59</v>
      </c>
      <c r="C15">
        <f>'Data In'!B$5*5-90</f>
        <v>-90</v>
      </c>
      <c r="D15">
        <f>'Data In'!C$5*5</f>
        <v>0</v>
      </c>
      <c r="E15">
        <f>'Data In'!D$5*5</f>
        <v>0</v>
      </c>
      <c r="G15" s="1" t="s">
        <v>11</v>
      </c>
      <c r="H15">
        <v>0.5</v>
      </c>
      <c r="I15">
        <v>0</v>
      </c>
      <c r="J15">
        <v>0</v>
      </c>
      <c r="K15">
        <f>SUMPRODUCT(XYZCoords2[[#This Row],[X]:[Z]],$C$20:$E$20)</f>
        <v>0.5</v>
      </c>
      <c r="L15">
        <f>SUMPRODUCT(XYZCoords2[[#This Row],[X]:[Z]],$C$21:$E$21)</f>
        <v>0</v>
      </c>
      <c r="N15" t="s">
        <v>11</v>
      </c>
      <c r="O15">
        <f>VLOOKUP(Table18[[#This Row],[Point]],XYZCoords2[],5,0)</f>
        <v>0.5</v>
      </c>
      <c r="P15">
        <f>VLOOKUP(Table18[[#This Row],[Point]],XYZCoords2[],6,0)</f>
        <v>0</v>
      </c>
    </row>
    <row r="16" spans="2:19" x14ac:dyDescent="0.25">
      <c r="B16" t="s">
        <v>60</v>
      </c>
      <c r="C16">
        <f>'Data In'!E$5</f>
        <v>0</v>
      </c>
      <c r="D16">
        <f>'Data In'!F$5</f>
        <v>0</v>
      </c>
      <c r="E16">
        <f>'Data In'!G$5</f>
        <v>0</v>
      </c>
      <c r="G16" s="1" t="s">
        <v>9</v>
      </c>
      <c r="H16">
        <v>-0.5</v>
      </c>
      <c r="I16">
        <v>0</v>
      </c>
      <c r="J16">
        <v>0</v>
      </c>
      <c r="K16">
        <f>SUMPRODUCT(XYZCoords2[[#This Row],[X]:[Z]],$C$20:$E$20)</f>
        <v>-0.5</v>
      </c>
      <c r="L16">
        <f>SUMPRODUCT(XYZCoords2[[#This Row],[X]:[Z]],$C$21:$E$21)</f>
        <v>0</v>
      </c>
      <c r="N16" t="s">
        <v>7</v>
      </c>
      <c r="O16">
        <f>VLOOKUP(Table18[[#This Row],[Point]],XYZCoords2[],5,0)</f>
        <v>0</v>
      </c>
      <c r="P16">
        <f>VLOOKUP(Table18[[#This Row],[Point]],XYZCoords2[],6,0)</f>
        <v>0</v>
      </c>
    </row>
    <row r="17" spans="2:16" x14ac:dyDescent="0.25">
      <c r="B17" t="s">
        <v>10</v>
      </c>
      <c r="C17">
        <f>SUM(C15:C16)</f>
        <v>-90</v>
      </c>
      <c r="D17">
        <f>SUM(D15:D16)</f>
        <v>0</v>
      </c>
      <c r="E17">
        <f>SUM(E15:E16)</f>
        <v>0</v>
      </c>
      <c r="G17" s="1" t="s">
        <v>7</v>
      </c>
      <c r="H17">
        <v>0</v>
      </c>
      <c r="I17">
        <v>0</v>
      </c>
      <c r="J17">
        <v>0</v>
      </c>
      <c r="K17">
        <f>SUMPRODUCT(XYZCoords2[[#This Row],[X]:[Z]],$C$20:$E$20)</f>
        <v>0</v>
      </c>
      <c r="L17">
        <f>SUMPRODUCT(XYZCoords2[[#This Row],[X]:[Z]],$C$21:$E$21)</f>
        <v>0</v>
      </c>
      <c r="N17" t="s">
        <v>5</v>
      </c>
      <c r="O17">
        <f>VLOOKUP(Table18[[#This Row],[Point]],XYZCoords2[],5,0)</f>
        <v>0</v>
      </c>
      <c r="P17">
        <f>VLOOKUP(Table18[[#This Row],[Point]],XYZCoords2[],6,0)</f>
        <v>3.06287113727155E-17</v>
      </c>
    </row>
    <row r="18" spans="2:16" x14ac:dyDescent="0.25">
      <c r="B18" t="s">
        <v>8</v>
      </c>
      <c r="C18">
        <f>SIN(RADIANS(C17))</f>
        <v>-1</v>
      </c>
      <c r="D18">
        <f>SIN(RADIANS(D17))</f>
        <v>0</v>
      </c>
      <c r="E18">
        <f>SIN(RADIANS(E17))</f>
        <v>0</v>
      </c>
      <c r="G18" s="1" t="s">
        <v>5</v>
      </c>
      <c r="H18">
        <v>0</v>
      </c>
      <c r="I18">
        <v>0.5</v>
      </c>
      <c r="J18">
        <v>0</v>
      </c>
      <c r="K18">
        <f>SUMPRODUCT(XYZCoords2[[#This Row],[X]:[Z]],$C$20:$E$20)</f>
        <v>0</v>
      </c>
      <c r="L18">
        <f>SUMPRODUCT(XYZCoords2[[#This Row],[X]:[Z]],$C$21:$E$21)</f>
        <v>3.06287113727155E-17</v>
      </c>
      <c r="N18" t="s">
        <v>11</v>
      </c>
      <c r="O18">
        <f>VLOOKUP(Table18[[#This Row],[Point]],XYZCoords2[],5,0)</f>
        <v>0.5</v>
      </c>
      <c r="P18">
        <f>VLOOKUP(Table18[[#This Row],[Point]],XYZCoords2[],6,0)</f>
        <v>0</v>
      </c>
    </row>
    <row r="19" spans="2:16" x14ac:dyDescent="0.25">
      <c r="B19" t="s">
        <v>6</v>
      </c>
      <c r="C19">
        <f>COS(RADIANS(C17))</f>
        <v>6.1257422745431001E-17</v>
      </c>
      <c r="D19">
        <f>COS(RADIANS(D17))</f>
        <v>1</v>
      </c>
      <c r="E19">
        <f>COS(RADIANS(E17))</f>
        <v>1</v>
      </c>
      <c r="G19" s="1" t="s">
        <v>3</v>
      </c>
      <c r="H19">
        <v>0</v>
      </c>
      <c r="I19">
        <v>-0.5</v>
      </c>
      <c r="J19">
        <v>0</v>
      </c>
      <c r="K19">
        <f>SUMPRODUCT(XYZCoords2[[#This Row],[X]:[Z]],$C$20:$E$20)</f>
        <v>0</v>
      </c>
      <c r="L19">
        <f>SUMPRODUCT(XYZCoords2[[#This Row],[X]:[Z]],$C$21:$E$21)</f>
        <v>-3.06287113727155E-17</v>
      </c>
      <c r="N19" t="s">
        <v>1</v>
      </c>
      <c r="O19">
        <f>VLOOKUP(Table18[[#This Row],[Point]],XYZCoords2[],5,0)</f>
        <v>0</v>
      </c>
      <c r="P19">
        <f>VLOOKUP(Table18[[#This Row],[Point]],XYZCoords2[],6,0)</f>
        <v>0.5</v>
      </c>
    </row>
    <row r="20" spans="2:16" x14ac:dyDescent="0.25">
      <c r="B20" t="s">
        <v>4</v>
      </c>
      <c r="C20">
        <f>D19*E19</f>
        <v>1</v>
      </c>
      <c r="D20">
        <f>-E18*D19</f>
        <v>0</v>
      </c>
      <c r="E20">
        <f>D18</f>
        <v>0</v>
      </c>
      <c r="G20" s="1" t="s">
        <v>1</v>
      </c>
      <c r="H20">
        <v>0</v>
      </c>
      <c r="I20">
        <v>0</v>
      </c>
      <c r="J20">
        <v>0.5</v>
      </c>
      <c r="K20">
        <f>SUMPRODUCT(XYZCoords2[[#This Row],[X]:[Z]],$C$20:$E$20)</f>
        <v>0</v>
      </c>
      <c r="L20">
        <f>SUMPRODUCT(XYZCoords2[[#This Row],[X]:[Z]],$C$21:$E$21)</f>
        <v>0.5</v>
      </c>
      <c r="N20" t="s">
        <v>7</v>
      </c>
      <c r="O20">
        <f>VLOOKUP(Table18[[#This Row],[Point]],XYZCoords2[],5,0)</f>
        <v>0</v>
      </c>
      <c r="P20">
        <f>VLOOKUP(Table18[[#This Row],[Point]],XYZCoords2[],6,0)</f>
        <v>0</v>
      </c>
    </row>
    <row r="21" spans="2:16" x14ac:dyDescent="0.25">
      <c r="B21" t="s">
        <v>2</v>
      </c>
      <c r="C21">
        <f>(E19*D18*C18+E18*C19)</f>
        <v>0</v>
      </c>
      <c r="D21">
        <f>(-C18*D18*E18+C19*E19)</f>
        <v>6.1257422745431001E-17</v>
      </c>
      <c r="E21">
        <f>-D19*C18</f>
        <v>1</v>
      </c>
      <c r="G21" s="1" t="s">
        <v>0</v>
      </c>
      <c r="H21">
        <v>0</v>
      </c>
      <c r="I21">
        <v>0</v>
      </c>
      <c r="J21">
        <v>-0.5</v>
      </c>
      <c r="K21" s="26">
        <f>SUMPRODUCT(XYZCoords2[[#This Row],[X]:[Z]],$C$20:$E$20)</f>
        <v>0</v>
      </c>
      <c r="L21" s="26">
        <f>SUMPRODUCT(XYZCoords2[[#This Row],[X]:[Z]],$C$21:$E$21)</f>
        <v>-0.5</v>
      </c>
      <c r="N21" t="s">
        <v>5</v>
      </c>
      <c r="O21">
        <f>VLOOKUP(Table18[[#This Row],[Point]],XYZCoords2[],5,0)</f>
        <v>0</v>
      </c>
      <c r="P21">
        <f>VLOOKUP(Table18[[#This Row],[Point]],XYZCoords2[],6,0)</f>
        <v>3.06287113727155E-17</v>
      </c>
    </row>
    <row r="22" spans="2:16" x14ac:dyDescent="0.25">
      <c r="K22" s="26"/>
      <c r="L22" s="26"/>
      <c r="N22" t="s">
        <v>1</v>
      </c>
      <c r="O22">
        <f>VLOOKUP(Table18[[#This Row],[Point]],XYZCoords2[],5,0)</f>
        <v>0</v>
      </c>
      <c r="P22">
        <f>VLOOKUP(Table18[[#This Row],[Point]],XYZCoords2[],6,0)</f>
        <v>0.5</v>
      </c>
    </row>
  </sheetData>
  <pageMargins left="0.7" right="0.7" top="0.75" bottom="0.75" header="0.3" footer="0.3"/>
  <pageSetup orientation="portrait" r:id="rId1"/>
  <tableParts count="6">
    <tablePart r:id="rId2"/>
    <tablePart r:id="rId3"/>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DE0D3-B52B-48B7-B6FF-1ADB7CFECB86}">
  <sheetPr codeName="Sheet7"/>
  <dimension ref="A1:M30"/>
  <sheetViews>
    <sheetView showGridLines="0" tabSelected="1" workbookViewId="0"/>
  </sheetViews>
  <sheetFormatPr defaultRowHeight="16.5" x14ac:dyDescent="0.3"/>
  <cols>
    <col min="1" max="1" width="4.28515625" style="27" customWidth="1"/>
    <col min="2" max="2" width="5.7109375" style="27" customWidth="1"/>
    <col min="3" max="3" width="25.7109375" style="27" customWidth="1"/>
    <col min="4" max="4" width="5.7109375" style="27" customWidth="1"/>
    <col min="5" max="5" width="17.140625" style="27" customWidth="1"/>
    <col min="6" max="11" width="9.140625" style="27"/>
    <col min="12" max="12" width="20.42578125" style="27" customWidth="1"/>
    <col min="13" max="16384" width="9.140625" style="27"/>
  </cols>
  <sheetData>
    <row r="1" spans="1:13" ht="22.5" customHeight="1" x14ac:dyDescent="0.3">
      <c r="B1" s="69" t="s">
        <v>198</v>
      </c>
    </row>
    <row r="2" spans="1:13" s="49" customFormat="1" ht="30" customHeight="1" x14ac:dyDescent="0.3">
      <c r="A2" s="53" t="str">
        <f ca="1">RIGHT(CELL("filename",A2),LEN(CELL("filename",A2))-FIND("]",CELL("filename",A2)))</f>
        <v>Instructions</v>
      </c>
      <c r="B2" s="70" t="str">
        <f>TT!$O$3</f>
        <v>Select Language</v>
      </c>
      <c r="C2" s="70"/>
      <c r="D2" s="70"/>
    </row>
    <row r="3" spans="1:13" s="49" customFormat="1" ht="15" customHeight="1" thickBot="1" x14ac:dyDescent="0.35">
      <c r="B3" s="28"/>
      <c r="C3" s="52"/>
      <c r="D3" s="28"/>
    </row>
    <row r="4" spans="1:13" s="49" customFormat="1" ht="30" customHeight="1" thickBot="1" x14ac:dyDescent="0.35">
      <c r="B4" s="28"/>
      <c r="C4" s="51" t="s">
        <v>73</v>
      </c>
      <c r="D4" s="28"/>
      <c r="M4" s="50"/>
    </row>
    <row r="5" spans="1:13" s="49" customFormat="1" ht="15" customHeight="1" x14ac:dyDescent="0.3">
      <c r="B5" s="28"/>
      <c r="C5" s="28"/>
      <c r="D5" s="28"/>
    </row>
    <row r="6" spans="1:13" s="49" customFormat="1" ht="22.5" customHeight="1" x14ac:dyDescent="0.3"/>
    <row r="7" spans="1:13" x14ac:dyDescent="0.3">
      <c r="B7" s="49"/>
    </row>
    <row r="8" spans="1:13" x14ac:dyDescent="0.3">
      <c r="B8" s="49"/>
    </row>
    <row r="9" spans="1:13" x14ac:dyDescent="0.3">
      <c r="B9" s="49"/>
    </row>
    <row r="10" spans="1:13" x14ac:dyDescent="0.3">
      <c r="B10" s="49"/>
    </row>
    <row r="16" spans="1:13" x14ac:dyDescent="0.3">
      <c r="B16" s="71"/>
      <c r="C16" s="71"/>
      <c r="D16" s="71"/>
      <c r="E16" s="71"/>
    </row>
    <row r="17" spans="3:3" x14ac:dyDescent="0.3">
      <c r="C17" s="48"/>
    </row>
    <row r="18" spans="3:3" x14ac:dyDescent="0.3">
      <c r="C18" s="48"/>
    </row>
    <row r="30" spans="3:3" ht="22.5" customHeight="1" x14ac:dyDescent="0.3"/>
  </sheetData>
  <sheetProtection sheet="1" objects="1" scenarios="1"/>
  <protectedRanges>
    <protectedRange sqref="C4" name="Range1"/>
  </protectedRanges>
  <mergeCells count="2">
    <mergeCell ref="B2:D2"/>
    <mergeCell ref="B16:E16"/>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872064E1-C3C1-41B5-9B07-C5DFB099C5E2}">
          <x14:formula1>
            <xm:f>TT!$S$5:$S$7</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4F37C-AFEB-4FFC-8496-1583EE47F836}">
  <sheetPr codeName="Sheet6"/>
  <dimension ref="A1:Y21"/>
  <sheetViews>
    <sheetView showGridLines="0" workbookViewId="0"/>
  </sheetViews>
  <sheetFormatPr defaultColWidth="9.140625" defaultRowHeight="20.25" x14ac:dyDescent="0.35"/>
  <cols>
    <col min="1" max="2" width="4.28515625" style="27" customWidth="1"/>
    <col min="3" max="3" width="25.7109375" style="27" customWidth="1"/>
    <col min="4" max="4" width="4.28515625" style="27" customWidth="1"/>
    <col min="5" max="5" width="9.140625" style="27"/>
    <col min="6" max="6" width="4.42578125" style="27" customWidth="1"/>
    <col min="7" max="7" width="25.7109375" style="27" customWidth="1"/>
    <col min="8" max="8" width="11.42578125" style="27" customWidth="1"/>
    <col min="9" max="10" width="23.140625" style="27" customWidth="1"/>
    <col min="11" max="11" width="6.28515625" style="27" customWidth="1"/>
    <col min="12" max="12" width="4.85546875" style="35" customWidth="1"/>
    <col min="13" max="13" width="1.42578125" style="27" customWidth="1"/>
    <col min="14" max="14" width="9.28515625" style="27" customWidth="1"/>
    <col min="15" max="15" width="2.140625" style="27" customWidth="1"/>
    <col min="16" max="16" width="9.28515625" style="27" customWidth="1"/>
    <col min="17" max="17" width="4.85546875" style="27" customWidth="1"/>
    <col min="18" max="18" width="4.85546875" style="35" customWidth="1"/>
    <col min="19" max="19" width="1.42578125" style="27" customWidth="1"/>
    <col min="20" max="20" width="9.28515625" style="27" customWidth="1"/>
    <col min="21" max="21" width="2.140625" style="27" customWidth="1"/>
    <col min="22" max="22" width="9.28515625" style="27" customWidth="1"/>
    <col min="23" max="16384" width="9.140625" style="27"/>
  </cols>
  <sheetData>
    <row r="1" spans="1:25" ht="22.5" customHeight="1" x14ac:dyDescent="0.35"/>
    <row r="2" spans="1:25" ht="30" customHeight="1" x14ac:dyDescent="0.3">
      <c r="A2" s="44" t="str">
        <f ca="1">RIGHT(CELL("filename",A2),LEN(CELL("filename",A2))-FIND("]",CELL("filename",A2)))</f>
        <v>Polygon Rotation</v>
      </c>
      <c r="B2" s="72" t="str">
        <f>TT!$O$34</f>
        <v>Rotation of a polygon</v>
      </c>
      <c r="C2" s="72"/>
      <c r="D2" s="72"/>
      <c r="E2" s="72"/>
      <c r="F2" s="72"/>
      <c r="G2" s="72"/>
      <c r="H2" s="72"/>
      <c r="I2" s="72"/>
      <c r="J2" s="72"/>
      <c r="K2" s="72"/>
      <c r="L2" s="72"/>
      <c r="M2" s="72"/>
      <c r="N2" s="72"/>
      <c r="O2" s="72"/>
      <c r="P2" s="72"/>
      <c r="Q2" s="72"/>
      <c r="R2" s="72"/>
      <c r="S2" s="72"/>
      <c r="T2" s="72"/>
      <c r="U2" s="72"/>
      <c r="V2" s="72"/>
      <c r="W2" s="72"/>
    </row>
    <row r="3" spans="1:25" ht="22.5" customHeight="1" x14ac:dyDescent="0.35">
      <c r="B3" s="28"/>
      <c r="C3" s="28"/>
      <c r="D3" s="28"/>
      <c r="E3" s="28"/>
      <c r="F3" s="28"/>
      <c r="G3" s="28"/>
      <c r="H3" s="28"/>
      <c r="I3" s="28"/>
      <c r="J3" s="28"/>
      <c r="K3" s="28"/>
      <c r="L3" s="36"/>
      <c r="M3" s="28"/>
      <c r="N3" s="28"/>
      <c r="O3" s="28"/>
      <c r="P3" s="28"/>
      <c r="Q3" s="28"/>
      <c r="R3" s="36"/>
      <c r="S3" s="28"/>
      <c r="T3" s="28"/>
      <c r="U3" s="28"/>
      <c r="V3" s="28"/>
      <c r="W3" s="28"/>
    </row>
    <row r="4" spans="1:25" ht="11.25" customHeight="1" x14ac:dyDescent="0.35">
      <c r="B4" s="28"/>
      <c r="C4" s="28"/>
      <c r="D4" s="28"/>
      <c r="E4" s="28"/>
      <c r="F4" s="28"/>
      <c r="G4" s="28"/>
      <c r="H4" s="28"/>
      <c r="I4" s="28"/>
      <c r="J4" s="28"/>
      <c r="K4" s="28"/>
      <c r="L4" s="36"/>
      <c r="M4" s="28"/>
      <c r="N4" s="28"/>
      <c r="O4" s="28"/>
      <c r="P4" s="28"/>
      <c r="Q4" s="28"/>
      <c r="R4" s="36"/>
      <c r="S4" s="28"/>
      <c r="T4" s="28"/>
      <c r="U4" s="28"/>
      <c r="V4" s="28"/>
      <c r="W4" s="28"/>
    </row>
    <row r="5" spans="1:25" s="35" customFormat="1" ht="33.75" customHeight="1" x14ac:dyDescent="0.35">
      <c r="B5" s="28"/>
      <c r="C5" s="28"/>
      <c r="D5" s="28"/>
      <c r="E5" s="28"/>
      <c r="F5" s="28"/>
      <c r="G5" s="28"/>
      <c r="H5" s="28"/>
      <c r="I5" s="36"/>
      <c r="J5" s="36"/>
      <c r="K5" s="36"/>
      <c r="L5" s="37"/>
      <c r="M5" s="37"/>
      <c r="N5" s="39" t="s">
        <v>20</v>
      </c>
      <c r="O5" s="39"/>
      <c r="P5" s="39" t="s">
        <v>19</v>
      </c>
      <c r="Q5" s="39"/>
      <c r="R5" s="39"/>
      <c r="S5" s="39"/>
      <c r="T5" s="39" t="s">
        <v>47</v>
      </c>
      <c r="U5" s="39"/>
      <c r="V5" s="39" t="s">
        <v>48</v>
      </c>
      <c r="W5" s="36"/>
      <c r="X5" s="45"/>
      <c r="Y5" s="45"/>
    </row>
    <row r="6" spans="1:25" ht="7.5" customHeight="1" x14ac:dyDescent="0.35">
      <c r="B6" s="28"/>
      <c r="C6" s="28"/>
      <c r="D6" s="28"/>
      <c r="E6" s="28"/>
      <c r="F6" s="28"/>
      <c r="G6" s="28"/>
      <c r="H6" s="28"/>
      <c r="I6" s="75" t="str">
        <f>TT!$O$35</f>
        <v>Explore the isometric transformation, specifically the rotation of the triangle about the origin in a 2-D coordinate system plane.</v>
      </c>
      <c r="J6" s="75"/>
      <c r="K6" s="28"/>
      <c r="L6" s="38"/>
      <c r="M6" s="31"/>
      <c r="N6" s="31"/>
      <c r="O6" s="31"/>
      <c r="P6" s="31"/>
      <c r="Q6" s="31"/>
      <c r="R6" s="38"/>
      <c r="S6" s="31"/>
      <c r="T6" s="31"/>
      <c r="U6" s="31"/>
      <c r="V6" s="31"/>
      <c r="W6" s="28"/>
      <c r="X6" s="46"/>
      <c r="Y6" s="46"/>
    </row>
    <row r="7" spans="1:25" ht="26.25" customHeight="1" x14ac:dyDescent="0.3">
      <c r="B7" s="28"/>
      <c r="C7" s="28"/>
      <c r="D7" s="28"/>
      <c r="E7" s="28"/>
      <c r="F7" s="28"/>
      <c r="G7" s="28"/>
      <c r="H7" s="28"/>
      <c r="I7" s="75"/>
      <c r="J7" s="75"/>
      <c r="K7" s="28"/>
      <c r="L7" s="39" t="s">
        <v>49</v>
      </c>
      <c r="M7" s="28"/>
      <c r="N7" s="29">
        <v>1</v>
      </c>
      <c r="O7" s="30"/>
      <c r="P7" s="29">
        <v>2</v>
      </c>
      <c r="Q7" s="28"/>
      <c r="R7" s="39" t="s">
        <v>61</v>
      </c>
      <c r="S7" s="28"/>
      <c r="T7" s="34">
        <f>$N7*COS(RADIANS(Rotate_Z))-$P7*SIN(RADIANS(Rotate_Z))</f>
        <v>1</v>
      </c>
      <c r="U7" s="30"/>
      <c r="V7" s="34">
        <f>$N7*SIN(RADIANS(Rotate_Z))+$P7*COS(RADIANS(Rotate_Z))</f>
        <v>2</v>
      </c>
      <c r="W7" s="28"/>
      <c r="Y7" s="46"/>
    </row>
    <row r="8" spans="1:25" ht="7.5" customHeight="1" x14ac:dyDescent="0.3">
      <c r="B8" s="28"/>
      <c r="C8" s="28"/>
      <c r="D8" s="28"/>
      <c r="E8" s="28"/>
      <c r="F8" s="28"/>
      <c r="G8" s="28"/>
      <c r="H8" s="28"/>
      <c r="I8" s="75"/>
      <c r="J8" s="75"/>
      <c r="K8" s="28"/>
      <c r="L8" s="39"/>
      <c r="M8" s="28"/>
      <c r="N8" s="30"/>
      <c r="O8" s="30"/>
      <c r="P8" s="30"/>
      <c r="Q8" s="28"/>
      <c r="R8" s="39"/>
      <c r="S8" s="28"/>
      <c r="T8" s="30"/>
      <c r="U8" s="30"/>
      <c r="V8" s="30"/>
      <c r="W8" s="28"/>
      <c r="Y8" s="46"/>
    </row>
    <row r="9" spans="1:25" ht="7.5" customHeight="1" x14ac:dyDescent="0.3">
      <c r="B9" s="28"/>
      <c r="C9" s="28"/>
      <c r="D9" s="28"/>
      <c r="E9" s="28"/>
      <c r="F9" s="28"/>
      <c r="G9" s="28"/>
      <c r="H9" s="28"/>
      <c r="I9" s="75"/>
      <c r="J9" s="75"/>
      <c r="K9" s="28"/>
      <c r="L9" s="40"/>
      <c r="M9" s="31"/>
      <c r="N9" s="32"/>
      <c r="O9" s="32"/>
      <c r="P9" s="32"/>
      <c r="Q9" s="31"/>
      <c r="R9" s="40"/>
      <c r="S9" s="31"/>
      <c r="T9" s="32"/>
      <c r="U9" s="32"/>
      <c r="V9" s="32"/>
      <c r="W9" s="28"/>
      <c r="Y9" s="46"/>
    </row>
    <row r="10" spans="1:25" ht="26.25" customHeight="1" x14ac:dyDescent="0.3">
      <c r="B10" s="28"/>
      <c r="C10" s="28"/>
      <c r="D10" s="28"/>
      <c r="E10" s="28"/>
      <c r="F10" s="28"/>
      <c r="G10" s="28"/>
      <c r="H10" s="28"/>
      <c r="I10" s="75"/>
      <c r="J10" s="75"/>
      <c r="K10" s="28"/>
      <c r="L10" s="39" t="s">
        <v>50</v>
      </c>
      <c r="M10" s="28"/>
      <c r="N10" s="29">
        <v>2</v>
      </c>
      <c r="O10" s="30"/>
      <c r="P10" s="29">
        <v>1</v>
      </c>
      <c r="Q10" s="28"/>
      <c r="R10" s="39" t="s">
        <v>62</v>
      </c>
      <c r="S10" s="28"/>
      <c r="T10" s="34">
        <f>$N10*COS(RADIANS(Rotate_Z))-$P10*SIN(RADIANS(Rotate_Z))</f>
        <v>2</v>
      </c>
      <c r="U10" s="30"/>
      <c r="V10" s="34">
        <f>$N10*SIN(RADIANS(Rotate_Z))+$P10*COS(RADIANS(Rotate_Z))</f>
        <v>1</v>
      </c>
      <c r="W10" s="28"/>
      <c r="Y10" s="46"/>
    </row>
    <row r="11" spans="1:25" ht="7.5" customHeight="1" x14ac:dyDescent="0.3">
      <c r="B11" s="28"/>
      <c r="C11" s="28"/>
      <c r="D11" s="28"/>
      <c r="E11" s="28"/>
      <c r="F11" s="28"/>
      <c r="G11" s="28"/>
      <c r="H11" s="28"/>
      <c r="I11" s="75"/>
      <c r="J11" s="75"/>
      <c r="K11" s="28"/>
      <c r="L11" s="39"/>
      <c r="M11" s="28"/>
      <c r="N11" s="30"/>
      <c r="O11" s="30"/>
      <c r="P11" s="30"/>
      <c r="Q11" s="28"/>
      <c r="R11" s="39"/>
      <c r="S11" s="28"/>
      <c r="T11" s="30"/>
      <c r="U11" s="30"/>
      <c r="V11" s="30"/>
      <c r="W11" s="28"/>
      <c r="Y11" s="46"/>
    </row>
    <row r="12" spans="1:25" ht="7.5" customHeight="1" x14ac:dyDescent="0.3">
      <c r="B12" s="28"/>
      <c r="C12" s="28"/>
      <c r="D12" s="28"/>
      <c r="E12" s="28"/>
      <c r="F12" s="28"/>
      <c r="G12" s="28"/>
      <c r="H12" s="28"/>
      <c r="I12" s="75"/>
      <c r="J12" s="75"/>
      <c r="K12" s="28"/>
      <c r="L12" s="40"/>
      <c r="M12" s="31"/>
      <c r="N12" s="32"/>
      <c r="O12" s="32"/>
      <c r="P12" s="32"/>
      <c r="Q12" s="31"/>
      <c r="R12" s="40"/>
      <c r="S12" s="31"/>
      <c r="T12" s="32"/>
      <c r="U12" s="32"/>
      <c r="V12" s="32"/>
      <c r="W12" s="28"/>
      <c r="Y12" s="46"/>
    </row>
    <row r="13" spans="1:25" ht="26.25" customHeight="1" x14ac:dyDescent="0.3">
      <c r="B13" s="28"/>
      <c r="C13" s="28"/>
      <c r="D13" s="28"/>
      <c r="E13" s="28"/>
      <c r="F13" s="28"/>
      <c r="G13" s="28"/>
      <c r="H13" s="28"/>
      <c r="I13" s="76" t="str">
        <f>TT!$O$36</f>
        <v>Imagine a ray connecting the origin (0,0) to each vertex. With each rotation, each ray rotates by the same angle. When each vertex rotates, its coordinates change.</v>
      </c>
      <c r="J13" s="76"/>
      <c r="K13" s="28"/>
      <c r="L13" s="39" t="s">
        <v>51</v>
      </c>
      <c r="M13" s="28"/>
      <c r="N13" s="29">
        <v>1</v>
      </c>
      <c r="O13" s="30"/>
      <c r="P13" s="29">
        <v>1</v>
      </c>
      <c r="Q13" s="28"/>
      <c r="R13" s="39" t="s">
        <v>63</v>
      </c>
      <c r="S13" s="28"/>
      <c r="T13" s="34">
        <f>$N13*COS(RADIANS(Rotate_Z))-$P13*SIN(RADIANS(Rotate_Z))</f>
        <v>1</v>
      </c>
      <c r="U13" s="30"/>
      <c r="V13" s="34">
        <f>$N13*SIN(RADIANS(Rotate_Z))+$P13*COS(RADIANS(Rotate_Z))</f>
        <v>1</v>
      </c>
      <c r="W13" s="28"/>
      <c r="Y13" s="46"/>
    </row>
    <row r="14" spans="1:25" x14ac:dyDescent="0.35">
      <c r="B14" s="28"/>
      <c r="C14" s="28"/>
      <c r="D14" s="28"/>
      <c r="E14" s="28"/>
      <c r="F14" s="28"/>
      <c r="G14" s="28"/>
      <c r="H14" s="28"/>
      <c r="I14" s="76"/>
      <c r="J14" s="76"/>
      <c r="K14" s="28"/>
      <c r="L14" s="36"/>
      <c r="M14" s="28"/>
      <c r="N14" s="28"/>
      <c r="O14" s="28"/>
      <c r="P14" s="28"/>
      <c r="Q14" s="28"/>
      <c r="R14" s="36"/>
      <c r="S14" s="28"/>
      <c r="T14" s="28"/>
      <c r="U14" s="28"/>
      <c r="V14" s="28"/>
      <c r="W14" s="28"/>
      <c r="X14" s="44"/>
      <c r="Y14" s="46"/>
    </row>
    <row r="15" spans="1:25" ht="52.5" customHeight="1" x14ac:dyDescent="0.35">
      <c r="B15" s="28"/>
      <c r="C15" s="28"/>
      <c r="D15" s="28"/>
      <c r="E15" s="28"/>
      <c r="F15" s="28"/>
      <c r="G15" s="28"/>
      <c r="H15" s="28"/>
      <c r="I15" s="76"/>
      <c r="J15" s="76"/>
      <c r="K15" s="28"/>
      <c r="L15" s="36"/>
      <c r="M15" s="28"/>
      <c r="N15" s="28"/>
      <c r="O15" s="28"/>
      <c r="P15" s="28"/>
      <c r="Q15" s="28"/>
      <c r="R15" s="36"/>
      <c r="S15" s="28"/>
      <c r="T15" s="28"/>
      <c r="U15" s="28"/>
      <c r="V15" s="28"/>
      <c r="W15" s="28"/>
      <c r="X15" s="44"/>
      <c r="Y15" s="46"/>
    </row>
    <row r="16" spans="1:25" ht="52.5" customHeight="1" x14ac:dyDescent="0.35">
      <c r="B16" s="28"/>
      <c r="C16" s="28"/>
      <c r="D16" s="28"/>
      <c r="E16" s="28"/>
      <c r="F16" s="28"/>
      <c r="G16" s="28"/>
      <c r="H16" s="28"/>
      <c r="I16" s="77" t="str">
        <f>TT!$O$37</f>
        <v>Explore how the vertex coordinates change as the triangle rotates through the four quadrants of the coordinate plane.</v>
      </c>
      <c r="J16" s="77"/>
      <c r="K16" s="28"/>
      <c r="L16" s="36"/>
      <c r="M16" s="28"/>
      <c r="N16" s="28"/>
      <c r="O16" s="28"/>
      <c r="P16" s="28"/>
      <c r="Q16" s="28"/>
      <c r="R16" s="36"/>
      <c r="S16" s="28"/>
      <c r="T16" s="28"/>
      <c r="U16" s="28"/>
      <c r="V16" s="28"/>
      <c r="W16" s="28"/>
    </row>
    <row r="17" spans="2:23" ht="52.5" customHeight="1" x14ac:dyDescent="0.35">
      <c r="B17" s="28"/>
      <c r="C17" s="28"/>
      <c r="D17" s="28"/>
      <c r="E17" s="28"/>
      <c r="F17" s="28"/>
      <c r="G17" s="28"/>
      <c r="H17" s="28"/>
      <c r="I17" s="77"/>
      <c r="J17" s="77"/>
      <c r="K17" s="28"/>
      <c r="L17" s="36"/>
      <c r="M17" s="28"/>
      <c r="N17" s="28"/>
      <c r="O17" s="28"/>
      <c r="P17" s="28"/>
      <c r="Q17" s="28"/>
      <c r="R17" s="36"/>
      <c r="S17" s="28"/>
      <c r="T17" s="28"/>
      <c r="U17" s="28"/>
      <c r="V17" s="28"/>
      <c r="W17" s="28"/>
    </row>
    <row r="18" spans="2:23" ht="52.5" customHeight="1" x14ac:dyDescent="0.35">
      <c r="B18" s="28"/>
      <c r="C18" s="28"/>
      <c r="D18" s="28"/>
      <c r="E18" s="28"/>
      <c r="F18" s="28"/>
      <c r="G18" s="28"/>
      <c r="H18" s="28"/>
      <c r="I18" s="28"/>
      <c r="J18" s="28"/>
      <c r="K18" s="28"/>
      <c r="L18" s="36"/>
      <c r="M18" s="28"/>
      <c r="N18" s="28"/>
      <c r="O18" s="28"/>
      <c r="P18" s="28"/>
      <c r="Q18" s="28"/>
      <c r="R18" s="36"/>
      <c r="S18" s="28"/>
      <c r="T18" s="28"/>
      <c r="U18" s="28"/>
      <c r="V18" s="28"/>
      <c r="W18" s="28"/>
    </row>
    <row r="19" spans="2:23" ht="15" customHeight="1" x14ac:dyDescent="0.35">
      <c r="B19" s="28"/>
      <c r="C19" s="28"/>
      <c r="D19" s="28"/>
      <c r="E19" s="73">
        <f>MOD(Rotate_Z,360)</f>
        <v>0</v>
      </c>
      <c r="F19" s="28"/>
      <c r="G19" s="28"/>
      <c r="H19" s="28"/>
      <c r="I19" s="28"/>
      <c r="J19" s="28"/>
      <c r="K19" s="28"/>
      <c r="L19" s="36"/>
      <c r="M19" s="28"/>
      <c r="N19" s="28"/>
      <c r="O19" s="28"/>
      <c r="P19" s="28"/>
      <c r="Q19" s="28"/>
      <c r="R19" s="36"/>
      <c r="S19" s="28"/>
      <c r="T19" s="28"/>
      <c r="U19" s="28"/>
      <c r="V19" s="28"/>
      <c r="W19" s="28"/>
    </row>
    <row r="20" spans="2:23" s="57" customFormat="1" ht="33.75" customHeight="1" x14ac:dyDescent="0.35">
      <c r="B20" s="54"/>
      <c r="C20" s="55" t="str">
        <f>TT!O38</f>
        <v>&lt; COUNTER CLOCKWISE</v>
      </c>
      <c r="D20" s="54"/>
      <c r="E20" s="73"/>
      <c r="F20" s="54"/>
      <c r="G20" s="55" t="str">
        <f>TT!O39</f>
        <v>CLOCKWISE &gt;</v>
      </c>
      <c r="H20" s="54"/>
      <c r="I20" s="54"/>
      <c r="J20" s="54"/>
      <c r="K20" s="54"/>
      <c r="L20" s="56"/>
      <c r="M20" s="54"/>
      <c r="N20" s="54"/>
      <c r="O20" s="54"/>
      <c r="P20" s="54"/>
      <c r="Q20" s="54"/>
      <c r="R20" s="56"/>
      <c r="S20" s="54"/>
      <c r="T20" s="74" t="str">
        <f>TT!$O$40</f>
        <v>RESET &gt;</v>
      </c>
      <c r="U20" s="74"/>
      <c r="V20" s="74"/>
      <c r="W20" s="54"/>
    </row>
    <row r="21" spans="2:23" ht="11.25" customHeight="1" x14ac:dyDescent="0.35">
      <c r="B21" s="28"/>
      <c r="C21" s="28"/>
      <c r="D21" s="28"/>
      <c r="E21" s="28"/>
      <c r="F21" s="28"/>
      <c r="G21" s="28"/>
      <c r="H21" s="28"/>
      <c r="I21" s="28"/>
      <c r="J21" s="28"/>
      <c r="K21" s="28"/>
      <c r="L21" s="36"/>
      <c r="M21" s="28"/>
      <c r="N21" s="28"/>
      <c r="O21" s="28"/>
      <c r="P21" s="28"/>
      <c r="Q21" s="28"/>
      <c r="R21" s="36"/>
      <c r="S21" s="28"/>
      <c r="T21" s="28"/>
      <c r="U21" s="28"/>
      <c r="V21" s="28"/>
      <c r="W21" s="28"/>
    </row>
  </sheetData>
  <sheetProtection sheet="1" objects="1" scenarios="1"/>
  <protectedRanges>
    <protectedRange sqref="N7 N10 N13 P7 P10 P13" name="Range1"/>
  </protectedRanges>
  <mergeCells count="6">
    <mergeCell ref="B2:W2"/>
    <mergeCell ref="E19:E20"/>
    <mergeCell ref="T20:V20"/>
    <mergeCell ref="I6:J12"/>
    <mergeCell ref="I13:J15"/>
    <mergeCell ref="I16:J17"/>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8E5EE-B9C0-427A-ABBC-246FBBD147A1}">
  <sheetPr codeName="Sheet8"/>
  <dimension ref="A1:T50"/>
  <sheetViews>
    <sheetView workbookViewId="0">
      <selection activeCell="M21" sqref="M21"/>
    </sheetView>
  </sheetViews>
  <sheetFormatPr defaultRowHeight="15" x14ac:dyDescent="0.25"/>
  <cols>
    <col min="4" max="4" width="10.5703125" customWidth="1"/>
    <col min="5" max="5" width="12.85546875" customWidth="1"/>
    <col min="6" max="6" width="25.85546875" customWidth="1"/>
    <col min="7" max="7" width="60.5703125" customWidth="1"/>
    <col min="8" max="13" width="12.85546875" customWidth="1"/>
    <col min="14" max="14" width="13.85546875" customWidth="1"/>
    <col min="15" max="15" width="9.5703125" customWidth="1"/>
  </cols>
  <sheetData>
    <row r="1" spans="1:20" x14ac:dyDescent="0.25">
      <c r="A1" s="58"/>
    </row>
    <row r="2" spans="1:20" x14ac:dyDescent="0.25">
      <c r="B2" t="s">
        <v>80</v>
      </c>
      <c r="C2" t="s">
        <v>81</v>
      </c>
      <c r="D2" t="s">
        <v>82</v>
      </c>
      <c r="E2" t="s">
        <v>83</v>
      </c>
      <c r="F2" t="s">
        <v>84</v>
      </c>
      <c r="G2" t="s">
        <v>85</v>
      </c>
      <c r="H2" t="s">
        <v>86</v>
      </c>
      <c r="I2" t="s">
        <v>87</v>
      </c>
      <c r="J2" t="s">
        <v>88</v>
      </c>
      <c r="K2" t="s">
        <v>89</v>
      </c>
      <c r="L2" t="s">
        <v>90</v>
      </c>
      <c r="M2" t="s">
        <v>91</v>
      </c>
      <c r="N2" t="s">
        <v>92</v>
      </c>
      <c r="O2" t="s">
        <v>93</v>
      </c>
    </row>
    <row r="3" spans="1:20" x14ac:dyDescent="0.25">
      <c r="B3">
        <f>ROW()</f>
        <v>3</v>
      </c>
      <c r="C3" t="s">
        <v>95</v>
      </c>
      <c r="D3" t="str">
        <f>"Shark1_"&amp;TT[[#This Row],[Tab]]</f>
        <v>Shark1_TT</v>
      </c>
      <c r="E3" t="s">
        <v>79</v>
      </c>
      <c r="F3" t="s">
        <v>121</v>
      </c>
      <c r="G3" t="s">
        <v>170</v>
      </c>
      <c r="O3" t="str">
        <f>INDEX(TT[[#This Row],[Language 1]:[Language 10]],1,LanguageSelect)</f>
        <v>Select Language</v>
      </c>
      <c r="R3" t="s">
        <v>79</v>
      </c>
      <c r="S3" t="str">
        <f>Instructions!$C$4</f>
        <v>English</v>
      </c>
      <c r="T3">
        <f>INDEX($R$5:$R$14,MATCH($S$3,$S$5:$S$14,0))</f>
        <v>1</v>
      </c>
    </row>
    <row r="4" spans="1:20" x14ac:dyDescent="0.25">
      <c r="B4">
        <f>ROW()</f>
        <v>4</v>
      </c>
      <c r="C4" t="s">
        <v>95</v>
      </c>
      <c r="D4" t="str">
        <f>"Shark1_"&amp;TT[[#This Row],[Tab]]</f>
        <v>Shark1_TT</v>
      </c>
      <c r="E4" t="s">
        <v>73</v>
      </c>
      <c r="F4" t="s">
        <v>122</v>
      </c>
      <c r="G4" t="s">
        <v>171</v>
      </c>
      <c r="O4" t="str">
        <f>INDEX(TT[[#This Row],[Language 1]:[Language 10]],1,LanguageSelect)</f>
        <v>English</v>
      </c>
    </row>
    <row r="5" spans="1:20" x14ac:dyDescent="0.25">
      <c r="B5">
        <f>ROW()</f>
        <v>5</v>
      </c>
      <c r="C5" t="s">
        <v>95</v>
      </c>
      <c r="D5" t="str">
        <f>"Shark1_"&amp;TT[[#This Row],[Tab]]</f>
        <v>Shark1_TT</v>
      </c>
      <c r="E5" t="s">
        <v>96</v>
      </c>
      <c r="F5" t="s">
        <v>94</v>
      </c>
      <c r="G5" t="s">
        <v>172</v>
      </c>
      <c r="O5" t="str">
        <f>INDEX(TT[[#This Row],[Language 1]:[Language 10]],1,LanguageSelect)</f>
        <v>Portuguese</v>
      </c>
      <c r="R5">
        <v>1</v>
      </c>
      <c r="S5" t="s">
        <v>73</v>
      </c>
    </row>
    <row r="6" spans="1:20" x14ac:dyDescent="0.25">
      <c r="B6">
        <f>ROW()</f>
        <v>6</v>
      </c>
      <c r="C6" t="s">
        <v>95</v>
      </c>
      <c r="D6" t="str">
        <f>"Shark1_"&amp;TT[[#This Row],[Tab]]</f>
        <v>Shark1_TT</v>
      </c>
      <c r="E6" t="s">
        <v>97</v>
      </c>
      <c r="F6" t="s">
        <v>123</v>
      </c>
      <c r="G6" t="s">
        <v>173</v>
      </c>
      <c r="O6" t="str">
        <f>INDEX(TT[[#This Row],[Language 1]:[Language 10]],1,LanguageSelect)</f>
        <v>Spanish</v>
      </c>
      <c r="R6">
        <v>2</v>
      </c>
      <c r="S6" t="s">
        <v>94</v>
      </c>
    </row>
    <row r="7" spans="1:20" x14ac:dyDescent="0.25">
      <c r="B7">
        <f>ROW()</f>
        <v>7</v>
      </c>
      <c r="C7" t="s">
        <v>95</v>
      </c>
      <c r="D7" t="str">
        <f>"Shark1_"&amp;TT[[#This Row],[Tab]]</f>
        <v>Shark1_TT</v>
      </c>
      <c r="E7" t="s">
        <v>98</v>
      </c>
      <c r="F7" t="s">
        <v>124</v>
      </c>
      <c r="G7" t="s">
        <v>174</v>
      </c>
      <c r="O7" t="str">
        <f>INDEX(TT[[#This Row],[Language 1]:[Language 10]],1,LanguageSelect)</f>
        <v>German</v>
      </c>
      <c r="R7">
        <v>3</v>
      </c>
      <c r="S7" t="s">
        <v>173</v>
      </c>
    </row>
    <row r="8" spans="1:20" x14ac:dyDescent="0.25">
      <c r="B8">
        <f>ROW()</f>
        <v>8</v>
      </c>
      <c r="C8" t="s">
        <v>95</v>
      </c>
      <c r="D8" t="str">
        <f>"Shark1_"&amp;TT[[#This Row],[Tab]]</f>
        <v>Shark1_TT</v>
      </c>
      <c r="E8" t="s">
        <v>99</v>
      </c>
      <c r="F8" t="s">
        <v>125</v>
      </c>
      <c r="G8" t="s">
        <v>125</v>
      </c>
      <c r="O8" t="str">
        <f>INDEX(TT[[#This Row],[Language 1]:[Language 10]],1,LanguageSelect)</f>
        <v>Italian</v>
      </c>
      <c r="R8">
        <v>4</v>
      </c>
    </row>
    <row r="9" spans="1:20" x14ac:dyDescent="0.25">
      <c r="B9">
        <f>ROW()</f>
        <v>9</v>
      </c>
      <c r="C9" t="s">
        <v>95</v>
      </c>
      <c r="D9" t="str">
        <f>"Shark1_"&amp;TT[[#This Row],[Tab]]</f>
        <v>Shark1_TT</v>
      </c>
      <c r="E9" t="s">
        <v>100</v>
      </c>
      <c r="F9" t="s">
        <v>126</v>
      </c>
      <c r="G9" t="s">
        <v>175</v>
      </c>
      <c r="O9" t="str">
        <f>INDEX(TT[[#This Row],[Language 1]:[Language 10]],1,LanguageSelect)</f>
        <v>Norwegian</v>
      </c>
      <c r="R9">
        <v>5</v>
      </c>
    </row>
    <row r="10" spans="1:20" x14ac:dyDescent="0.25">
      <c r="B10">
        <f>ROW()</f>
        <v>10</v>
      </c>
      <c r="C10" t="s">
        <v>95</v>
      </c>
      <c r="D10" t="str">
        <f>"Shark1_"&amp;TT[[#This Row],[Tab]]</f>
        <v>Shark1_TT</v>
      </c>
      <c r="E10" t="s">
        <v>101</v>
      </c>
      <c r="F10" t="s">
        <v>127</v>
      </c>
      <c r="G10" t="s">
        <v>176</v>
      </c>
      <c r="O10" t="str">
        <f>INDEX(TT[[#This Row],[Language 1]:[Language 10]],1,LanguageSelect)</f>
        <v>French</v>
      </c>
      <c r="R10">
        <v>6</v>
      </c>
    </row>
    <row r="11" spans="1:20" x14ac:dyDescent="0.25">
      <c r="B11">
        <f>ROW()</f>
        <v>11</v>
      </c>
      <c r="C11" t="s">
        <v>95</v>
      </c>
      <c r="D11" t="str">
        <f>"Shark1_"&amp;TT[[#This Row],[Tab]]</f>
        <v>Shark1_TT</v>
      </c>
      <c r="O11">
        <f>INDEX(TT[[#This Row],[Language 1]:[Language 10]],1,LanguageSelect)</f>
        <v>0</v>
      </c>
      <c r="R11">
        <v>7</v>
      </c>
    </row>
    <row r="12" spans="1:20" x14ac:dyDescent="0.25">
      <c r="B12">
        <f>ROW()</f>
        <v>12</v>
      </c>
      <c r="C12" t="s">
        <v>95</v>
      </c>
      <c r="D12" t="str">
        <f>"Shark1_"&amp;TT[[#This Row],[Tab]]</f>
        <v>Shark1_TT</v>
      </c>
      <c r="O12">
        <f>INDEX(TT[[#This Row],[Language 1]:[Language 10]],1,LanguageSelect)</f>
        <v>0</v>
      </c>
      <c r="R12">
        <v>8</v>
      </c>
    </row>
    <row r="13" spans="1:20" x14ac:dyDescent="0.25">
      <c r="B13">
        <f>ROW()</f>
        <v>13</v>
      </c>
      <c r="C13" t="s">
        <v>95</v>
      </c>
      <c r="D13" t="str">
        <f>"Shark1_"&amp;TT[[#This Row],[Tab]]</f>
        <v>Shark1_TT</v>
      </c>
      <c r="O13">
        <f>INDEX(TT[[#This Row],[Language 1]:[Language 10]],1,LanguageSelect)</f>
        <v>0</v>
      </c>
      <c r="R13">
        <v>9</v>
      </c>
    </row>
    <row r="14" spans="1:20" x14ac:dyDescent="0.25">
      <c r="B14">
        <f>ROW()</f>
        <v>14</v>
      </c>
      <c r="C14" t="s">
        <v>137</v>
      </c>
      <c r="D14" s="26" t="str">
        <f>"Shark1_"&amp;TT[[#This Row],[Tab]]</f>
        <v>Shark1_Instructions</v>
      </c>
      <c r="E14" t="s">
        <v>75</v>
      </c>
      <c r="F14" t="s">
        <v>117</v>
      </c>
      <c r="G14" t="s">
        <v>177</v>
      </c>
      <c r="O14" s="26" t="str">
        <f>INDEX(TT[[#This Row],[Language 1]:[Language 10]],1,LanguageSelect)</f>
        <v>This workbook uses "Macros" (automated Excel commands) to assist in the data collection process</v>
      </c>
      <c r="R14">
        <v>10</v>
      </c>
    </row>
    <row r="15" spans="1:20" x14ac:dyDescent="0.25">
      <c r="B15">
        <f>ROW()</f>
        <v>15</v>
      </c>
      <c r="C15" t="s">
        <v>137</v>
      </c>
      <c r="D15" s="26" t="str">
        <f>"Shark1_"&amp;TT[[#This Row],[Tab]]</f>
        <v>Shark1_Instructions</v>
      </c>
      <c r="E15" t="s">
        <v>76</v>
      </c>
      <c r="F15" t="s">
        <v>118</v>
      </c>
      <c r="G15" t="s">
        <v>178</v>
      </c>
      <c r="O15" s="26" t="str">
        <f>INDEX(TT[[#This Row],[Language 1]:[Language 10]],1,LanguageSelect)</f>
        <v>To use these Macros and have buttons on the spreadsheets work, you must "Enable" the Macros</v>
      </c>
    </row>
    <row r="16" spans="1:20" x14ac:dyDescent="0.25">
      <c r="B16">
        <f>ROW()</f>
        <v>16</v>
      </c>
      <c r="C16" t="s">
        <v>137</v>
      </c>
      <c r="D16" s="26" t="str">
        <f>"Shark1_"&amp;TT[[#This Row],[Tab]]</f>
        <v>Shark1_Instructions</v>
      </c>
      <c r="E16" t="s">
        <v>77</v>
      </c>
      <c r="F16" t="s">
        <v>119</v>
      </c>
      <c r="G16" t="s">
        <v>179</v>
      </c>
      <c r="O16" s="26" t="str">
        <f>INDEX(TT[[#This Row],[Language 1]:[Language 10]],1,LanguageSelect)</f>
        <v>Click the "Enable Content" button that appears above when you first open this workbook</v>
      </c>
    </row>
    <row r="17" spans="2:15" x14ac:dyDescent="0.25">
      <c r="B17">
        <f>ROW()</f>
        <v>17</v>
      </c>
      <c r="C17" t="s">
        <v>137</v>
      </c>
      <c r="D17" s="26" t="str">
        <f>"Shark1_"&amp;TT[[#This Row],[Tab]]</f>
        <v>Shark1_Instructions</v>
      </c>
      <c r="E17" t="s">
        <v>78</v>
      </c>
      <c r="F17" t="s">
        <v>120</v>
      </c>
      <c r="G17" t="s">
        <v>180</v>
      </c>
      <c r="O17" s="26" t="str">
        <f>INDEX(TT[[#This Row],[Language 1]:[Language 10]],1,LanguageSelect)</f>
        <v>Once you have enabled macros, you can use the workbook.  If you do not see this message, macros are enabled</v>
      </c>
    </row>
    <row r="18" spans="2:15" x14ac:dyDescent="0.25">
      <c r="B18">
        <f>ROW()</f>
        <v>18</v>
      </c>
      <c r="C18" t="s">
        <v>133</v>
      </c>
      <c r="D18" s="26" t="str">
        <f>"Shark1_"&amp;TT[[#This Row],[Tab]]</f>
        <v>Shark1_Settings</v>
      </c>
      <c r="E18" t="s">
        <v>40</v>
      </c>
      <c r="F18" t="s">
        <v>139</v>
      </c>
      <c r="G18" t="s">
        <v>181</v>
      </c>
      <c r="O18" s="26" t="str">
        <f>INDEX(TT[[#This Row],[Language 1]:[Language 10]],1,LanguageSelect)</f>
        <v>Workbook Settings</v>
      </c>
    </row>
    <row r="19" spans="2:15" x14ac:dyDescent="0.25">
      <c r="B19">
        <f>ROW()</f>
        <v>19</v>
      </c>
      <c r="C19" t="s">
        <v>133</v>
      </c>
      <c r="D19" s="26" t="str">
        <f>"Shark1_"&amp;TT[[#This Row],[Tab]]</f>
        <v>Shark1_Settings</v>
      </c>
      <c r="E19" t="s">
        <v>41</v>
      </c>
      <c r="F19" t="s">
        <v>140</v>
      </c>
      <c r="G19" t="s">
        <v>182</v>
      </c>
      <c r="O19" s="26" t="str">
        <f>INDEX(TT[[#This Row],[Language 1]:[Language 10]],1,LanguageSelect)</f>
        <v>Settings below will affect how data is read into the current workbook from data sources. Clear a field's contents to revert to its default setting.</v>
      </c>
    </row>
    <row r="20" spans="2:15" x14ac:dyDescent="0.25">
      <c r="B20">
        <f>ROW()</f>
        <v>20</v>
      </c>
      <c r="C20" t="s">
        <v>133</v>
      </c>
      <c r="D20" s="26" t="str">
        <f>"Shark1_"&amp;TT[[#This Row],[Tab]]</f>
        <v>Shark1_Settings</v>
      </c>
      <c r="E20" t="s">
        <v>128</v>
      </c>
      <c r="F20" t="s">
        <v>141</v>
      </c>
      <c r="G20" t="s">
        <v>183</v>
      </c>
      <c r="O20" s="26" t="str">
        <f>INDEX(TT[[#This Row],[Language 1]:[Language 10]],1,LanguageSelect)</f>
        <v>Data interval (ms):</v>
      </c>
    </row>
    <row r="21" spans="2:15" x14ac:dyDescent="0.25">
      <c r="B21">
        <f>ROW()</f>
        <v>21</v>
      </c>
      <c r="C21" t="s">
        <v>133</v>
      </c>
      <c r="D21" s="26" t="str">
        <f>"Shark1_"&amp;TT[[#This Row],[Tab]]</f>
        <v>Shark1_Settings</v>
      </c>
      <c r="E21" t="s">
        <v>129</v>
      </c>
      <c r="F21" t="s">
        <v>142</v>
      </c>
      <c r="G21" t="s">
        <v>184</v>
      </c>
      <c r="O21" s="26" t="str">
        <f>INDEX(TT[[#This Row],[Language 1]:[Language 10]],1,LanguageSelect)</f>
        <v>Data rows:</v>
      </c>
    </row>
    <row r="22" spans="2:15" x14ac:dyDescent="0.25">
      <c r="B22">
        <f>ROW()</f>
        <v>22</v>
      </c>
      <c r="C22" t="s">
        <v>133</v>
      </c>
      <c r="D22" s="26" t="str">
        <f>"Shark1_"&amp;TT[[#This Row],[Tab]]</f>
        <v>Shark1_Settings</v>
      </c>
      <c r="E22" t="s">
        <v>130</v>
      </c>
      <c r="F22" t="s">
        <v>143</v>
      </c>
      <c r="G22" t="s">
        <v>185</v>
      </c>
      <c r="O22" s="26" t="str">
        <f>INDEX(TT[[#This Row],[Language 1]:[Language 10]],1,LanguageSelect)</f>
        <v>Data channels:</v>
      </c>
    </row>
    <row r="23" spans="2:15" x14ac:dyDescent="0.25">
      <c r="B23">
        <f>ROW()</f>
        <v>23</v>
      </c>
      <c r="C23" t="s">
        <v>133</v>
      </c>
      <c r="D23" s="26" t="str">
        <f>"Shark1_"&amp;TT[[#This Row],[Tab]]</f>
        <v>Shark1_Settings</v>
      </c>
      <c r="E23" t="s">
        <v>131</v>
      </c>
      <c r="F23" t="s">
        <v>144</v>
      </c>
      <c r="G23" t="s">
        <v>186</v>
      </c>
      <c r="O23" s="26" t="str">
        <f>INDEX(TT[[#This Row],[Language 1]:[Language 10]],1,LanguageSelect)</f>
        <v>Data Orientation:</v>
      </c>
    </row>
    <row r="24" spans="2:15" x14ac:dyDescent="0.25">
      <c r="B24">
        <f>ROW()</f>
        <v>24</v>
      </c>
      <c r="C24" t="s">
        <v>133</v>
      </c>
      <c r="D24" s="26" t="str">
        <f>"Shark1_"&amp;TT[[#This Row],[Tab]]</f>
        <v>Shark1_Settings</v>
      </c>
      <c r="E24" t="s">
        <v>145</v>
      </c>
      <c r="F24" t="s">
        <v>157</v>
      </c>
      <c r="G24" t="s">
        <v>187</v>
      </c>
      <c r="O24" s="26" t="str">
        <f>INDEX(TT[[#This Row],[Language 1]:[Language 10]],1,LanguageSelect)</f>
        <v>WARNING: Changing settings may result in the loss of content and/or custom formatting in the Data In and Data Out worksheets. Always save before changing values.</v>
      </c>
    </row>
    <row r="25" spans="2:15" x14ac:dyDescent="0.25">
      <c r="B25">
        <f>ROW()</f>
        <v>25</v>
      </c>
      <c r="C25" t="s">
        <v>134</v>
      </c>
      <c r="D25" s="26" t="str">
        <f>"Shark1_"&amp;TT[[#This Row],[Tab]]</f>
        <v>Shark1_Data In</v>
      </c>
      <c r="E25" t="s">
        <v>22</v>
      </c>
      <c r="F25" t="s">
        <v>146</v>
      </c>
      <c r="G25" t="s">
        <v>188</v>
      </c>
      <c r="O25" s="26" t="str">
        <f>INDEX(TT[[#This Row],[Language 1]:[Language 10]],1,LanguageSelect)</f>
        <v>Data In (From Source)</v>
      </c>
    </row>
    <row r="26" spans="2:15" x14ac:dyDescent="0.25">
      <c r="B26">
        <f>ROW()</f>
        <v>26</v>
      </c>
      <c r="C26" t="s">
        <v>134</v>
      </c>
      <c r="D26" s="26" t="str">
        <f>"Shark1_"&amp;TT[[#This Row],[Tab]]</f>
        <v>Shark1_Data In</v>
      </c>
      <c r="E26" t="s">
        <v>23</v>
      </c>
      <c r="F26" t="s">
        <v>147</v>
      </c>
      <c r="G26" t="s">
        <v>189</v>
      </c>
      <c r="O26" s="26" t="str">
        <f>INDEX(TT[[#This Row],[Language 1]:[Language 10]],1,LanguageSelect)</f>
        <v>Data coming from the current data source will appear below as it is received.</v>
      </c>
    </row>
    <row r="27" spans="2:15" x14ac:dyDescent="0.25">
      <c r="B27">
        <f>ROW()</f>
        <v>27</v>
      </c>
      <c r="C27" t="s">
        <v>134</v>
      </c>
      <c r="D27" s="26" t="str">
        <f>"Shark1_"&amp;TT[[#This Row],[Tab]]</f>
        <v>Shark1_Data In</v>
      </c>
      <c r="E27" t="s">
        <v>24</v>
      </c>
      <c r="F27" t="s">
        <v>148</v>
      </c>
      <c r="G27" t="s">
        <v>190</v>
      </c>
      <c r="O27" s="26" t="str">
        <f>INDEX(TT[[#This Row],[Language 1]:[Language 10]],1,LanguageSelect)</f>
        <v>Current Data</v>
      </c>
    </row>
    <row r="28" spans="2:15" x14ac:dyDescent="0.25">
      <c r="B28">
        <f>ROW()</f>
        <v>28</v>
      </c>
      <c r="C28" t="s">
        <v>134</v>
      </c>
      <c r="D28" s="26" t="str">
        <f>"Shark1_"&amp;TT[[#This Row],[Tab]]</f>
        <v>Shark1_Data In</v>
      </c>
      <c r="E28" t="s">
        <v>26</v>
      </c>
      <c r="F28" t="s">
        <v>149</v>
      </c>
      <c r="G28" t="s">
        <v>191</v>
      </c>
      <c r="O28" s="26" t="str">
        <f>INDEX(TT[[#This Row],[Language 1]:[Language 10]],1,LanguageSelect)</f>
        <v>Time</v>
      </c>
    </row>
    <row r="29" spans="2:15" x14ac:dyDescent="0.25">
      <c r="B29">
        <f>ROW()</f>
        <v>29</v>
      </c>
      <c r="C29" t="s">
        <v>134</v>
      </c>
      <c r="D29" s="26" t="str">
        <f>"Shark1_"&amp;TT[[#This Row],[Tab]]</f>
        <v>Shark1_Data In</v>
      </c>
      <c r="E29" t="s">
        <v>37</v>
      </c>
      <c r="F29" t="s">
        <v>150</v>
      </c>
      <c r="G29" t="s">
        <v>197</v>
      </c>
      <c r="O29" s="26" t="str">
        <f>INDEX(TT[[#This Row],[Language 1]:[Language 10]],1,LanguageSelect)</f>
        <v>◀ Newest</v>
      </c>
    </row>
    <row r="30" spans="2:15" x14ac:dyDescent="0.25">
      <c r="B30">
        <f>ROW()</f>
        <v>30</v>
      </c>
      <c r="C30" t="s">
        <v>135</v>
      </c>
      <c r="D30" s="26" t="str">
        <f>"Shark1_"&amp;TT[[#This Row],[Tab]]</f>
        <v>Shark1_Data Out</v>
      </c>
      <c r="E30" t="s">
        <v>38</v>
      </c>
      <c r="F30" t="s">
        <v>151</v>
      </c>
      <c r="G30" t="s">
        <v>192</v>
      </c>
      <c r="O30" s="26" t="str">
        <f>INDEX(TT[[#This Row],[Language 1]:[Language 10]],1,LanguageSelect)</f>
        <v>Data Out (To Device)</v>
      </c>
    </row>
    <row r="31" spans="2:15" x14ac:dyDescent="0.25">
      <c r="B31">
        <f>ROW()</f>
        <v>31</v>
      </c>
      <c r="C31" t="s">
        <v>135</v>
      </c>
      <c r="D31" s="26" t="str">
        <f>"Shark1_"&amp;TT[[#This Row],[Tab]]</f>
        <v>Shark1_Data Out</v>
      </c>
      <c r="E31" t="s">
        <v>39</v>
      </c>
      <c r="F31" t="s">
        <v>152</v>
      </c>
      <c r="G31" t="s">
        <v>193</v>
      </c>
      <c r="O31" s="26" t="str">
        <f>INDEX(TT[[#This Row],[Language 1]:[Language 10]],1,LanguageSelect)</f>
        <v>Data entered into the channels below will be sent to the currently connected device
as a comma-delimited string.</v>
      </c>
    </row>
    <row r="32" spans="2:15" x14ac:dyDescent="0.25">
      <c r="B32">
        <f>ROW()</f>
        <v>32</v>
      </c>
      <c r="C32" t="s">
        <v>136</v>
      </c>
      <c r="D32" s="26" t="str">
        <f>"Shark1_"&amp;TT[[#This Row],[Tab]]</f>
        <v>Shark1_*macros*</v>
      </c>
      <c r="E32" t="s">
        <v>74</v>
      </c>
      <c r="F32" t="s">
        <v>153</v>
      </c>
      <c r="G32" t="s">
        <v>194</v>
      </c>
      <c r="O32" s="26" t="str">
        <f>INDEX(TT[[#This Row],[Language 1]:[Language 10]],1,LanguageSelect)</f>
        <v>Next &gt;</v>
      </c>
    </row>
    <row r="33" spans="2:15" x14ac:dyDescent="0.25">
      <c r="B33">
        <f>ROW()</f>
        <v>33</v>
      </c>
      <c r="C33" t="s">
        <v>136</v>
      </c>
      <c r="D33" s="26" t="str">
        <f>"Shark1_"&amp;TT[[#This Row],[Tab]]</f>
        <v>Shark1_*macros*</v>
      </c>
      <c r="E33" t="s">
        <v>132</v>
      </c>
      <c r="F33" t="s">
        <v>154</v>
      </c>
      <c r="G33" t="s">
        <v>154</v>
      </c>
      <c r="O33" s="26" t="str">
        <f>INDEX(TT[[#This Row],[Language 1]:[Language 10]],1,LanguageSelect)</f>
        <v>&lt; Previous</v>
      </c>
    </row>
    <row r="34" spans="2:15" x14ac:dyDescent="0.25">
      <c r="B34">
        <f>ROW()</f>
        <v>34</v>
      </c>
      <c r="C34" t="s">
        <v>138</v>
      </c>
      <c r="D34" s="26" t="str">
        <f>"Shark1_"&amp;TT[[#This Row],[Tab]]</f>
        <v>Shark1_Polygon Rotation</v>
      </c>
      <c r="E34" t="s">
        <v>67</v>
      </c>
      <c r="F34" t="s">
        <v>102</v>
      </c>
      <c r="G34" t="s">
        <v>158</v>
      </c>
      <c r="O34" s="26" t="str">
        <f>INDEX(TT[[#This Row],[Language 1]:[Language 10]],1,LanguageSelect)</f>
        <v>Rotation of a polygon</v>
      </c>
    </row>
    <row r="35" spans="2:15" x14ac:dyDescent="0.25">
      <c r="B35">
        <f>ROW()</f>
        <v>35</v>
      </c>
      <c r="C35" t="s">
        <v>138</v>
      </c>
      <c r="D35" s="26" t="str">
        <f>"Shark1_"&amp;TT[[#This Row],[Tab]]</f>
        <v>Shark1_Polygon Rotation</v>
      </c>
      <c r="E35" t="s">
        <v>69</v>
      </c>
      <c r="F35" t="s">
        <v>103</v>
      </c>
      <c r="G35" t="s">
        <v>159</v>
      </c>
      <c r="O35" s="26" t="str">
        <f>INDEX(TT[[#This Row],[Language 1]:[Language 10]],1,LanguageSelect)</f>
        <v>Explore the isometric transformation, specifically the rotation of the triangle about the origin in a 2-D coordinate system plane.</v>
      </c>
    </row>
    <row r="36" spans="2:15" x14ac:dyDescent="0.25">
      <c r="B36">
        <f>ROW()</f>
        <v>36</v>
      </c>
      <c r="C36" t="s">
        <v>138</v>
      </c>
      <c r="D36" s="26" t="str">
        <f>"Shark1_"&amp;TT[[#This Row],[Tab]]</f>
        <v>Shark1_Polygon Rotation</v>
      </c>
      <c r="E36" t="s">
        <v>71</v>
      </c>
      <c r="F36" t="s">
        <v>104</v>
      </c>
      <c r="G36" t="s">
        <v>160</v>
      </c>
      <c r="O36" s="26" t="str">
        <f>INDEX(TT[[#This Row],[Language 1]:[Language 10]],1,LanguageSelect)</f>
        <v>Imagine a ray connecting the origin (0,0) to each vertex. With each rotation, each ray rotates by the same angle. When each vertex rotates, its coordinates change.</v>
      </c>
    </row>
    <row r="37" spans="2:15" x14ac:dyDescent="0.25">
      <c r="B37">
        <f>ROW()</f>
        <v>37</v>
      </c>
      <c r="C37" t="s">
        <v>138</v>
      </c>
      <c r="D37" s="26" t="str">
        <f>"Shark1_"&amp;TT[[#This Row],[Tab]]</f>
        <v>Shark1_Polygon Rotation</v>
      </c>
      <c r="E37" t="s">
        <v>70</v>
      </c>
      <c r="F37" t="s">
        <v>105</v>
      </c>
      <c r="G37" t="s">
        <v>161</v>
      </c>
      <c r="O37" s="26" t="str">
        <f>INDEX(TT[[#This Row],[Language 1]:[Language 10]],1,LanguageSelect)</f>
        <v>Explore how the vertex coordinates change as the triangle rotates through the four quadrants of the coordinate plane.</v>
      </c>
    </row>
    <row r="38" spans="2:15" x14ac:dyDescent="0.25">
      <c r="B38">
        <f>ROW()</f>
        <v>38</v>
      </c>
      <c r="C38" t="s">
        <v>138</v>
      </c>
      <c r="D38" s="26" t="str">
        <f>"Shark1_"&amp;TT[[#This Row],[Tab]]</f>
        <v>Shark1_Polygon Rotation</v>
      </c>
      <c r="E38" t="s">
        <v>66</v>
      </c>
      <c r="F38" t="s">
        <v>155</v>
      </c>
      <c r="G38" t="s">
        <v>195</v>
      </c>
      <c r="O38" s="26" t="str">
        <f>INDEX(TT[[#This Row],[Language 1]:[Language 10]],1,LanguageSelect)</f>
        <v>&lt; COUNTER CLOCKWISE</v>
      </c>
    </row>
    <row r="39" spans="2:15" x14ac:dyDescent="0.25">
      <c r="B39">
        <f>ROW()</f>
        <v>39</v>
      </c>
      <c r="C39" t="s">
        <v>138</v>
      </c>
      <c r="D39" s="26" t="str">
        <f>"Shark1_"&amp;TT[[#This Row],[Tab]]</f>
        <v>Shark1_Polygon Rotation</v>
      </c>
      <c r="E39" t="s">
        <v>64</v>
      </c>
      <c r="F39" t="s">
        <v>156</v>
      </c>
      <c r="G39" t="s">
        <v>196</v>
      </c>
      <c r="O39" s="26" t="str">
        <f>INDEX(TT[[#This Row],[Language 1]:[Language 10]],1,LanguageSelect)</f>
        <v>CLOCKWISE &gt;</v>
      </c>
    </row>
    <row r="40" spans="2:15" x14ac:dyDescent="0.25">
      <c r="B40">
        <f>ROW()</f>
        <v>40</v>
      </c>
      <c r="C40" t="s">
        <v>138</v>
      </c>
      <c r="D40" s="26" t="str">
        <f>"Shark1_"&amp;TT[[#This Row],[Tab]]</f>
        <v>Shark1_Polygon Rotation</v>
      </c>
      <c r="E40" t="s">
        <v>65</v>
      </c>
      <c r="F40" t="s">
        <v>106</v>
      </c>
      <c r="G40" t="s">
        <v>162</v>
      </c>
      <c r="O40" s="26" t="str">
        <f>INDEX(TT[[#This Row],[Language 1]:[Language 10]],1,LanguageSelect)</f>
        <v>RESET &gt;</v>
      </c>
    </row>
    <row r="41" spans="2:15" x14ac:dyDescent="0.25">
      <c r="B41">
        <f>ROW()</f>
        <v>41</v>
      </c>
      <c r="C41" t="s">
        <v>68</v>
      </c>
      <c r="D41" s="26" t="str">
        <f>"Shark1_"&amp;TT[[#This Row],[Tab]]</f>
        <v>Shark1_3-axis rotation</v>
      </c>
      <c r="E41" t="s">
        <v>68</v>
      </c>
      <c r="F41" t="s">
        <v>107</v>
      </c>
      <c r="G41" t="s">
        <v>163</v>
      </c>
      <c r="O41" s="26" t="str">
        <f>INDEX(TT[[#This Row],[Language 1]:[Language 10]],1,LanguageSelect)</f>
        <v>3-axis rotation</v>
      </c>
    </row>
    <row r="42" spans="2:15" x14ac:dyDescent="0.25">
      <c r="B42">
        <f>ROW()</f>
        <v>42</v>
      </c>
      <c r="C42" t="s">
        <v>68</v>
      </c>
      <c r="D42" s="26" t="str">
        <f>"Shark1_"&amp;TT[[#This Row],[Tab]]</f>
        <v>Shark1_3-axis rotation</v>
      </c>
      <c r="E42" t="s">
        <v>72</v>
      </c>
      <c r="F42" t="s">
        <v>108</v>
      </c>
      <c r="G42" t="s">
        <v>164</v>
      </c>
      <c r="O42" s="26" t="str">
        <f>INDEX(TT[[#This Row],[Language 1]:[Language 10]],1,LanguageSelect)</f>
        <v>Explore isometric transformation, specifically the rotation of a triangular pyramid in a 3-dimensional coordinate system. This is an extension of the isometric transformation of a polygon in a 2-dimensional plane explored in Polygon Rotation tab.</v>
      </c>
    </row>
    <row r="43" spans="2:15" x14ac:dyDescent="0.25">
      <c r="B43">
        <f>ROW()</f>
        <v>43</v>
      </c>
      <c r="C43" t="s">
        <v>134</v>
      </c>
      <c r="D43" s="26" t="str">
        <f>"Shark1_"&amp;TT[[#This Row],[Tab]]</f>
        <v>Shark1_Data In</v>
      </c>
      <c r="E43" t="s">
        <v>25</v>
      </c>
      <c r="F43" t="s">
        <v>109</v>
      </c>
      <c r="G43" t="s">
        <v>165</v>
      </c>
      <c r="O43" s="26" t="str">
        <f>INDEX(TT[[#This Row],[Language 1]:[Language 10]],1,LanguageSelect)</f>
        <v>Historical Data</v>
      </c>
    </row>
    <row r="44" spans="2:15" x14ac:dyDescent="0.25">
      <c r="B44">
        <f>ROW()</f>
        <v>44</v>
      </c>
      <c r="C44" t="s">
        <v>134</v>
      </c>
      <c r="D44" s="26" t="str">
        <f>"Shark1_"&amp;TT[[#This Row],[Tab]]</f>
        <v>Shark1_Data In</v>
      </c>
      <c r="E44" t="s">
        <v>55</v>
      </c>
      <c r="F44" t="s">
        <v>110</v>
      </c>
      <c r="G44" t="s">
        <v>110</v>
      </c>
      <c r="O44" s="26" t="str">
        <f>INDEX(TT[[#This Row],[Language 1]:[Language 10]],1,LanguageSelect)</f>
        <v>X adjustment</v>
      </c>
    </row>
    <row r="45" spans="2:15" x14ac:dyDescent="0.25">
      <c r="B45">
        <f>ROW()</f>
        <v>45</v>
      </c>
      <c r="C45" t="s">
        <v>134</v>
      </c>
      <c r="D45" s="26" t="str">
        <f>"Shark1_"&amp;TT[[#This Row],[Tab]]</f>
        <v>Shark1_Data In</v>
      </c>
      <c r="E45" t="s">
        <v>56</v>
      </c>
      <c r="F45" t="s">
        <v>111</v>
      </c>
      <c r="G45" t="s">
        <v>111</v>
      </c>
      <c r="O45" s="26" t="str">
        <f>INDEX(TT[[#This Row],[Language 1]:[Language 10]],1,LanguageSelect)</f>
        <v>Y adjustment</v>
      </c>
    </row>
    <row r="46" spans="2:15" x14ac:dyDescent="0.25">
      <c r="B46">
        <f>ROW()</f>
        <v>46</v>
      </c>
      <c r="C46" t="s">
        <v>134</v>
      </c>
      <c r="D46" s="26" t="str">
        <f>"Shark1_"&amp;TT[[#This Row],[Tab]]</f>
        <v>Shark1_Data In</v>
      </c>
      <c r="E46" t="s">
        <v>57</v>
      </c>
      <c r="F46" t="s">
        <v>112</v>
      </c>
      <c r="G46" t="s">
        <v>112</v>
      </c>
      <c r="O46" s="26" t="str">
        <f>INDEX(TT[[#This Row],[Language 1]:[Language 10]],1,LanguageSelect)</f>
        <v>Z adjustment</v>
      </c>
    </row>
    <row r="47" spans="2:15" x14ac:dyDescent="0.25">
      <c r="B47">
        <f>ROW()</f>
        <v>47</v>
      </c>
      <c r="C47" t="s">
        <v>134</v>
      </c>
      <c r="D47" s="26" t="str">
        <f>"Shark1_"&amp;TT[[#This Row],[Tab]]</f>
        <v>Shark1_Data In</v>
      </c>
      <c r="E47" t="s">
        <v>52</v>
      </c>
      <c r="F47" t="s">
        <v>113</v>
      </c>
      <c r="G47" t="s">
        <v>166</v>
      </c>
      <c r="O47" s="26" t="str">
        <f>INDEX(TT[[#This Row],[Language 1]:[Language 10]],1,LanguageSelect)</f>
        <v>X rotation</v>
      </c>
    </row>
    <row r="48" spans="2:15" x14ac:dyDescent="0.25">
      <c r="B48">
        <f>ROW()</f>
        <v>48</v>
      </c>
      <c r="C48" t="s">
        <v>134</v>
      </c>
      <c r="D48" s="26" t="str">
        <f>"Shark1_"&amp;TT[[#This Row],[Tab]]</f>
        <v>Shark1_Data In</v>
      </c>
      <c r="E48" t="s">
        <v>53</v>
      </c>
      <c r="F48" t="s">
        <v>114</v>
      </c>
      <c r="G48" t="s">
        <v>167</v>
      </c>
      <c r="O48" s="26" t="str">
        <f>INDEX(TT[[#This Row],[Language 1]:[Language 10]],1,LanguageSelect)</f>
        <v>Y rotation</v>
      </c>
    </row>
    <row r="49" spans="2:15" x14ac:dyDescent="0.25">
      <c r="B49">
        <f>ROW()</f>
        <v>49</v>
      </c>
      <c r="C49" t="s">
        <v>134</v>
      </c>
      <c r="D49" s="26" t="str">
        <f>"Shark1_"&amp;TT[[#This Row],[Tab]]</f>
        <v>Shark1_Data In</v>
      </c>
      <c r="E49" t="s">
        <v>54</v>
      </c>
      <c r="F49" t="s">
        <v>115</v>
      </c>
      <c r="G49" t="s">
        <v>168</v>
      </c>
      <c r="O49" s="26" t="str">
        <f>INDEX(TT[[#This Row],[Language 1]:[Language 10]],1,LanguageSelect)</f>
        <v>Z rotation</v>
      </c>
    </row>
    <row r="50" spans="2:15" x14ac:dyDescent="0.25">
      <c r="B50">
        <f>ROW()</f>
        <v>50</v>
      </c>
      <c r="C50" t="s">
        <v>134</v>
      </c>
      <c r="D50" s="26" t="str">
        <f>"Shark1_"&amp;TT[[#This Row],[Tab]]</f>
        <v>Shark1_Data In</v>
      </c>
      <c r="E50" t="s">
        <v>58</v>
      </c>
      <c r="F50" t="s">
        <v>116</v>
      </c>
      <c r="G50" t="s">
        <v>169</v>
      </c>
      <c r="O50" s="26" t="str">
        <f>INDEX(TT[[#This Row],[Language 1]:[Language 10]],1,LanguageSelect)</f>
        <v>End Time</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85FE1-7B8A-419A-BDB0-B874AA0CAE07}">
  <sheetPr codeName="Sheet2"/>
  <dimension ref="A1:X17"/>
  <sheetViews>
    <sheetView showGridLines="0" workbookViewId="0"/>
  </sheetViews>
  <sheetFormatPr defaultColWidth="9.140625" defaultRowHeight="16.5" x14ac:dyDescent="0.3"/>
  <cols>
    <col min="1" max="1" width="3.5703125" style="27" customWidth="1"/>
    <col min="2" max="2" width="6.42578125" style="27" customWidth="1"/>
    <col min="3" max="3" width="4.140625" style="27" customWidth="1"/>
    <col min="4" max="4" width="2.140625" style="27" customWidth="1"/>
    <col min="5" max="5" width="25.7109375" style="27" customWidth="1"/>
    <col min="6" max="6" width="2.140625" style="27" customWidth="1"/>
    <col min="7" max="7" width="25.7109375" style="27" customWidth="1"/>
    <col min="8" max="8" width="2.140625" style="27" customWidth="1"/>
    <col min="9" max="9" width="4.140625" style="27" customWidth="1"/>
    <col min="10" max="10" width="2" style="27" customWidth="1"/>
    <col min="11" max="11" width="2.140625" style="27" customWidth="1"/>
    <col min="12" max="12" width="23.5703125" style="27" customWidth="1"/>
    <col min="13" max="13" width="2.140625" style="27" customWidth="1"/>
    <col min="14" max="14" width="25.7109375" style="27" customWidth="1"/>
    <col min="15" max="15" width="2.140625" style="27" customWidth="1"/>
    <col min="16" max="16" width="4.42578125" style="27" customWidth="1"/>
    <col min="17" max="17" width="2.140625" style="27" customWidth="1"/>
    <col min="18" max="18" width="25.7109375" style="27" customWidth="1"/>
    <col min="19" max="19" width="2.140625" style="27" customWidth="1"/>
    <col min="20" max="20" width="25.7109375" style="27" customWidth="1"/>
    <col min="21" max="22" width="11.42578125" style="27" customWidth="1"/>
    <col min="23" max="23" width="25.7109375" style="27" customWidth="1"/>
    <col min="24" max="24" width="6.28515625" style="27" customWidth="1"/>
    <col min="25" max="16384" width="9.140625" style="27"/>
  </cols>
  <sheetData>
    <row r="1" spans="1:24" ht="18.75" customHeight="1" x14ac:dyDescent="0.3"/>
    <row r="2" spans="1:24" ht="30" customHeight="1" x14ac:dyDescent="0.3">
      <c r="A2" s="44" t="str">
        <f ca="1">RIGHT(CELL("filename",A2),LEN(CELL("filename",A2))-FIND("]",CELL("filename",A2)))</f>
        <v>3-axis rotation</v>
      </c>
      <c r="B2" s="72" t="str">
        <f>TT!$O$41</f>
        <v>3-axis rotation</v>
      </c>
      <c r="C2" s="72"/>
      <c r="D2" s="72"/>
      <c r="E2" s="72"/>
      <c r="F2" s="72"/>
      <c r="G2" s="72"/>
      <c r="H2" s="72"/>
      <c r="I2" s="72"/>
      <c r="J2" s="72"/>
      <c r="K2" s="72"/>
      <c r="L2" s="72"/>
      <c r="M2" s="72"/>
      <c r="N2" s="72"/>
      <c r="O2" s="72"/>
      <c r="P2" s="72"/>
      <c r="Q2" s="72"/>
      <c r="R2" s="72"/>
      <c r="S2" s="72"/>
      <c r="T2" s="72"/>
      <c r="U2" s="72"/>
      <c r="V2" s="72"/>
      <c r="W2" s="72"/>
      <c r="X2" s="72"/>
    </row>
    <row r="3" spans="1:24" ht="22.5" customHeight="1" x14ac:dyDescent="0.3">
      <c r="B3" s="28"/>
      <c r="C3" s="28"/>
      <c r="D3" s="28"/>
      <c r="E3" s="28"/>
      <c r="F3" s="28"/>
      <c r="G3" s="28"/>
      <c r="H3" s="28"/>
      <c r="I3" s="28"/>
      <c r="J3" s="28"/>
      <c r="K3" s="28"/>
      <c r="L3" s="28"/>
      <c r="M3" s="28"/>
      <c r="N3" s="28"/>
      <c r="O3" s="28"/>
      <c r="P3" s="28"/>
      <c r="Q3" s="28"/>
      <c r="R3" s="28"/>
      <c r="S3" s="28"/>
      <c r="T3" s="28"/>
      <c r="U3" s="28"/>
      <c r="V3" s="28"/>
      <c r="W3" s="28"/>
      <c r="X3" s="28"/>
    </row>
    <row r="4" spans="1:24" ht="42" customHeight="1" x14ac:dyDescent="0.3">
      <c r="B4" s="28"/>
      <c r="C4" s="28"/>
      <c r="D4" s="28"/>
      <c r="E4" s="28"/>
      <c r="F4" s="28"/>
      <c r="G4" s="43"/>
      <c r="H4" s="28"/>
      <c r="I4" s="28"/>
      <c r="J4" s="28"/>
      <c r="K4" s="28"/>
      <c r="L4" s="28"/>
      <c r="M4" s="28"/>
      <c r="N4" s="28"/>
      <c r="O4" s="28"/>
      <c r="P4" s="28"/>
      <c r="Q4" s="28"/>
      <c r="R4" s="28"/>
      <c r="S4" s="28"/>
      <c r="T4" s="42"/>
      <c r="U4" s="28"/>
      <c r="V4" s="28"/>
      <c r="W4" s="28"/>
      <c r="X4" s="28"/>
    </row>
    <row r="5" spans="1:24" ht="42" customHeight="1" x14ac:dyDescent="0.3">
      <c r="B5" s="28"/>
      <c r="C5" s="28"/>
      <c r="D5" s="28"/>
      <c r="E5" s="28"/>
      <c r="F5" s="28"/>
      <c r="G5" s="28"/>
      <c r="H5" s="28"/>
      <c r="I5" s="28"/>
      <c r="J5" s="28"/>
      <c r="K5" s="28"/>
      <c r="L5" s="28"/>
      <c r="M5" s="47"/>
      <c r="N5" s="47"/>
      <c r="O5" s="47"/>
      <c r="P5" s="47"/>
      <c r="Q5" s="47"/>
      <c r="R5" s="28"/>
      <c r="S5" s="28"/>
      <c r="T5" s="42"/>
      <c r="U5" s="28"/>
      <c r="V5" s="28"/>
      <c r="W5" s="28"/>
      <c r="X5" s="28"/>
    </row>
    <row r="6" spans="1:24" ht="42" customHeight="1" x14ac:dyDescent="0.3">
      <c r="B6" s="28"/>
      <c r="C6" s="28"/>
      <c r="D6" s="28"/>
      <c r="E6" s="28"/>
      <c r="F6" s="28"/>
      <c r="G6" s="28"/>
      <c r="H6" s="28"/>
      <c r="I6" s="28"/>
      <c r="J6" s="28"/>
      <c r="K6" s="28"/>
      <c r="L6" s="78" t="str">
        <f>TT!$O$42</f>
        <v>Explore isometric transformation, specifically the rotation of a triangular pyramid in a 3-dimensional coordinate system. This is an extension of the isometric transformation of a polygon in a 2-dimensional plane explored in Polygon Rotation tab.</v>
      </c>
      <c r="M6" s="78"/>
      <c r="N6" s="78"/>
      <c r="O6" s="78"/>
      <c r="P6" s="78"/>
      <c r="Q6" s="78"/>
      <c r="R6" s="78"/>
      <c r="S6" s="28"/>
      <c r="T6" s="28"/>
      <c r="U6" s="28"/>
      <c r="V6" s="28"/>
      <c r="W6" s="28"/>
      <c r="X6" s="28"/>
    </row>
    <row r="7" spans="1:24" ht="42" customHeight="1" x14ac:dyDescent="0.3">
      <c r="B7" s="28"/>
      <c r="C7" s="28"/>
      <c r="D7" s="28"/>
      <c r="E7" s="28"/>
      <c r="F7" s="28"/>
      <c r="G7" s="28"/>
      <c r="H7" s="28"/>
      <c r="I7" s="28"/>
      <c r="J7" s="28"/>
      <c r="K7" s="28"/>
      <c r="L7" s="78"/>
      <c r="M7" s="78"/>
      <c r="N7" s="78"/>
      <c r="O7" s="78"/>
      <c r="P7" s="78"/>
      <c r="Q7" s="78"/>
      <c r="R7" s="78"/>
      <c r="S7" s="28"/>
      <c r="T7" s="28"/>
      <c r="U7" s="28"/>
      <c r="V7" s="28"/>
      <c r="W7" s="28"/>
      <c r="X7" s="28"/>
    </row>
    <row r="8" spans="1:24" ht="42" customHeight="1" x14ac:dyDescent="0.3">
      <c r="B8" s="28"/>
      <c r="C8" s="28"/>
      <c r="D8" s="28"/>
      <c r="E8" s="28"/>
      <c r="F8" s="28"/>
      <c r="G8" s="28"/>
      <c r="H8" s="28"/>
      <c r="I8" s="28"/>
      <c r="J8" s="28"/>
      <c r="K8" s="28"/>
      <c r="L8" s="78"/>
      <c r="M8" s="78"/>
      <c r="N8" s="78"/>
      <c r="O8" s="78"/>
      <c r="P8" s="78"/>
      <c r="Q8" s="78"/>
      <c r="R8" s="78"/>
      <c r="S8" s="28"/>
      <c r="T8" s="28"/>
      <c r="U8" s="28"/>
      <c r="V8" s="28"/>
      <c r="W8" s="28"/>
      <c r="X8" s="28"/>
    </row>
    <row r="9" spans="1:24" ht="37.5" customHeight="1" x14ac:dyDescent="0.3">
      <c r="B9" s="28"/>
      <c r="C9" s="28"/>
      <c r="D9" s="28"/>
      <c r="E9" s="28"/>
      <c r="F9" s="28"/>
      <c r="G9" s="28"/>
      <c r="H9" s="28"/>
      <c r="I9" s="28"/>
      <c r="J9" s="28"/>
      <c r="K9" s="28"/>
      <c r="L9" s="78"/>
      <c r="M9" s="78"/>
      <c r="N9" s="78"/>
      <c r="O9" s="78"/>
      <c r="P9" s="78"/>
      <c r="Q9" s="78"/>
      <c r="R9" s="78"/>
      <c r="S9" s="28"/>
      <c r="T9" s="28"/>
      <c r="U9" s="28"/>
      <c r="V9" s="28"/>
      <c r="W9" s="28"/>
      <c r="X9" s="28"/>
    </row>
    <row r="10" spans="1:24" ht="14.25" customHeight="1" x14ac:dyDescent="0.3">
      <c r="B10" s="28"/>
      <c r="C10" s="28"/>
      <c r="D10" s="28"/>
      <c r="E10" s="28"/>
      <c r="F10" s="28"/>
      <c r="G10" s="28"/>
      <c r="H10" s="28"/>
      <c r="I10" s="28"/>
      <c r="J10" s="28"/>
      <c r="K10" s="28"/>
      <c r="L10" s="78"/>
      <c r="M10" s="78"/>
      <c r="N10" s="78"/>
      <c r="O10" s="78"/>
      <c r="P10" s="78"/>
      <c r="Q10" s="78"/>
      <c r="R10" s="78"/>
      <c r="S10" s="28"/>
      <c r="T10" s="28"/>
      <c r="U10" s="28"/>
      <c r="V10" s="28"/>
      <c r="W10" s="28"/>
      <c r="X10" s="28"/>
    </row>
    <row r="11" spans="1:24" ht="37.5" customHeight="1" x14ac:dyDescent="0.3">
      <c r="B11" s="28"/>
      <c r="C11" s="28"/>
      <c r="D11" s="28"/>
      <c r="E11" s="28"/>
      <c r="F11" s="28"/>
      <c r="G11" s="28"/>
      <c r="H11" s="28"/>
      <c r="I11" s="28"/>
      <c r="J11" s="28"/>
      <c r="K11" s="28"/>
      <c r="L11" s="78"/>
      <c r="M11" s="78"/>
      <c r="N11" s="78"/>
      <c r="O11" s="78"/>
      <c r="P11" s="78"/>
      <c r="Q11" s="78"/>
      <c r="R11" s="78"/>
      <c r="S11" s="28"/>
      <c r="T11" s="28"/>
      <c r="U11" s="28"/>
      <c r="V11" s="28"/>
      <c r="W11" s="28"/>
      <c r="X11" s="28"/>
    </row>
    <row r="12" spans="1:24" ht="14.25" customHeight="1" x14ac:dyDescent="0.3">
      <c r="B12" s="28"/>
      <c r="C12" s="28"/>
      <c r="D12" s="28"/>
      <c r="E12" s="28"/>
      <c r="F12" s="28"/>
      <c r="G12" s="28"/>
      <c r="H12" s="28"/>
      <c r="I12" s="28"/>
      <c r="J12" s="28"/>
      <c r="K12" s="28"/>
      <c r="L12" s="28"/>
      <c r="M12" s="28"/>
      <c r="N12" s="28"/>
      <c r="O12" s="28"/>
      <c r="P12" s="28"/>
      <c r="Q12" s="28"/>
      <c r="R12" s="28"/>
      <c r="S12" s="28"/>
      <c r="T12" s="28"/>
      <c r="U12" s="28"/>
      <c r="V12" s="28"/>
      <c r="W12" s="28"/>
      <c r="X12" s="28"/>
    </row>
    <row r="13" spans="1:24" ht="37.5" customHeight="1" x14ac:dyDescent="0.3">
      <c r="B13" s="28"/>
      <c r="C13" s="28"/>
      <c r="D13" s="28"/>
      <c r="E13" s="28"/>
      <c r="F13" s="28"/>
      <c r="G13" s="28"/>
      <c r="H13" s="28"/>
      <c r="I13" s="28"/>
      <c r="J13" s="28"/>
      <c r="K13" s="28"/>
      <c r="L13" s="28"/>
      <c r="M13" s="28"/>
      <c r="N13" s="28"/>
      <c r="O13" s="28"/>
      <c r="P13" s="28"/>
      <c r="Q13" s="28"/>
      <c r="R13" s="28"/>
      <c r="S13" s="28"/>
      <c r="T13" s="28"/>
      <c r="U13" s="28"/>
      <c r="V13" s="28"/>
      <c r="W13" s="28"/>
      <c r="X13" s="28"/>
    </row>
    <row r="14" spans="1:24" ht="37.5" customHeight="1" x14ac:dyDescent="0.3">
      <c r="B14" s="28"/>
      <c r="C14" s="28"/>
      <c r="D14" s="28"/>
      <c r="E14" s="28"/>
      <c r="F14" s="28"/>
      <c r="G14" s="28"/>
      <c r="H14" s="28"/>
      <c r="I14" s="28"/>
      <c r="J14" s="28"/>
      <c r="K14" s="28"/>
      <c r="L14" s="28"/>
      <c r="M14" s="28"/>
      <c r="N14" s="28"/>
      <c r="O14" s="28"/>
      <c r="P14" s="28"/>
      <c r="Q14" s="28"/>
      <c r="R14" s="28"/>
      <c r="S14" s="28"/>
      <c r="T14" s="28"/>
      <c r="U14" s="28"/>
      <c r="V14" s="28"/>
      <c r="W14" s="28"/>
      <c r="X14" s="28"/>
    </row>
    <row r="15" spans="1:24" ht="22.5" customHeight="1" x14ac:dyDescent="0.3">
      <c r="B15" s="28"/>
      <c r="C15" s="28"/>
      <c r="D15" s="28"/>
      <c r="E15" s="28"/>
      <c r="F15" s="28"/>
      <c r="G15" s="28"/>
      <c r="H15" s="28"/>
      <c r="I15" s="28"/>
      <c r="J15" s="28"/>
      <c r="K15" s="28"/>
      <c r="L15" s="28"/>
      <c r="M15" s="28"/>
      <c r="N15" s="28"/>
      <c r="O15" s="28"/>
      <c r="P15" s="28"/>
      <c r="Q15" s="28"/>
      <c r="R15" s="28"/>
      <c r="S15" s="28"/>
      <c r="T15" s="28"/>
      <c r="U15" s="28"/>
      <c r="V15" s="28"/>
      <c r="W15" s="28"/>
      <c r="X15" s="28"/>
    </row>
    <row r="16" spans="1:24" ht="37.5" customHeight="1" x14ac:dyDescent="0.3">
      <c r="B16" s="28"/>
      <c r="C16" s="30" t="s">
        <v>20</v>
      </c>
      <c r="D16" s="28"/>
      <c r="E16" s="59" t="str">
        <f>TT!$O$38</f>
        <v>&lt; COUNTER CLOCKWISE</v>
      </c>
      <c r="F16" s="28"/>
      <c r="G16" s="59" t="str">
        <f>TT!$O$39</f>
        <v>CLOCKWISE &gt;</v>
      </c>
      <c r="H16" s="28"/>
      <c r="I16" s="30" t="s">
        <v>19</v>
      </c>
      <c r="J16" s="28"/>
      <c r="K16" s="79" t="str">
        <f>TT!$O$38</f>
        <v>&lt; COUNTER CLOCKWISE</v>
      </c>
      <c r="L16" s="79"/>
      <c r="M16" s="28"/>
      <c r="N16" s="60" t="str">
        <f>TT!$O$39</f>
        <v>CLOCKWISE &gt;</v>
      </c>
      <c r="O16" s="28"/>
      <c r="P16" s="30" t="s">
        <v>18</v>
      </c>
      <c r="Q16" s="28"/>
      <c r="R16" s="61" t="str">
        <f>TT!$O$38</f>
        <v>&lt; COUNTER CLOCKWISE</v>
      </c>
      <c r="S16" s="28"/>
      <c r="T16" s="61" t="str">
        <f>TT!$O$39</f>
        <v>CLOCKWISE &gt;</v>
      </c>
      <c r="U16" s="28"/>
      <c r="V16" s="28"/>
      <c r="W16" s="33" t="str">
        <f>TT!$O$40</f>
        <v>RESET &gt;</v>
      </c>
      <c r="X16" s="28"/>
    </row>
    <row r="17" spans="2:24" ht="15" customHeight="1" x14ac:dyDescent="0.3">
      <c r="B17" s="28"/>
      <c r="C17" s="28"/>
      <c r="D17" s="28"/>
      <c r="E17" s="28"/>
      <c r="F17" s="28"/>
      <c r="G17" s="28"/>
      <c r="H17" s="28"/>
      <c r="I17" s="28"/>
      <c r="J17" s="28"/>
      <c r="K17" s="28"/>
      <c r="L17" s="28"/>
      <c r="M17" s="28"/>
      <c r="N17" s="28"/>
      <c r="O17" s="28"/>
      <c r="P17" s="28"/>
      <c r="Q17" s="28"/>
      <c r="R17" s="28"/>
      <c r="S17" s="28"/>
      <c r="T17" s="28"/>
      <c r="U17" s="28"/>
      <c r="V17" s="28"/>
      <c r="W17" s="28"/>
      <c r="X17" s="28"/>
    </row>
  </sheetData>
  <sheetProtection sheet="1" objects="1" scenarios="1"/>
  <mergeCells count="3">
    <mergeCell ref="B2:X2"/>
    <mergeCell ref="L6:R11"/>
    <mergeCell ref="K16:L16"/>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6CAC3-756A-4237-B1AD-0E4D98480AE7}">
  <sheetPr codeName="Sheet3"/>
  <dimension ref="A1:M9"/>
  <sheetViews>
    <sheetView workbookViewId="0">
      <selection activeCell="E31" sqref="E31"/>
    </sheetView>
  </sheetViews>
  <sheetFormatPr defaultColWidth="8.7109375" defaultRowHeight="15.95" customHeight="1" x14ac:dyDescent="0.25"/>
  <cols>
    <col min="1" max="1" width="14.5703125" style="4" customWidth="1"/>
    <col min="2" max="7" width="16.85546875" style="2" customWidth="1"/>
    <col min="8" max="8" width="12.28515625" style="2" customWidth="1"/>
    <col min="9" max="16384" width="8.7109375" style="2"/>
  </cols>
  <sheetData>
    <row r="1" spans="1:13" ht="39.950000000000003" customHeight="1" x14ac:dyDescent="0.55000000000000004">
      <c r="A1" s="80" t="str">
        <f>TT!$O$25</f>
        <v>Data In (From Source)</v>
      </c>
      <c r="B1" s="81"/>
      <c r="C1" s="81"/>
      <c r="D1" s="81"/>
      <c r="E1" s="81"/>
      <c r="F1" s="81"/>
      <c r="G1" s="81"/>
      <c r="H1" s="81"/>
      <c r="I1" s="81"/>
      <c r="J1" s="81"/>
      <c r="K1" s="3" t="s">
        <v>21</v>
      </c>
    </row>
    <row r="2" spans="1:13" ht="24.95" customHeight="1" x14ac:dyDescent="0.25">
      <c r="A2" s="82" t="str">
        <f>TT!$O$26</f>
        <v>Data coming from the current data source will appear below as it is received.</v>
      </c>
      <c r="B2" s="83"/>
      <c r="C2" s="83"/>
      <c r="D2" s="83"/>
      <c r="E2" s="83"/>
      <c r="F2" s="83"/>
      <c r="G2" s="83"/>
      <c r="H2" s="83"/>
      <c r="I2" s="83"/>
      <c r="J2" s="83"/>
    </row>
    <row r="3" spans="1:13" ht="33.6" customHeight="1" x14ac:dyDescent="0.25">
      <c r="A3" s="84" t="s">
        <v>24</v>
      </c>
      <c r="B3" s="84"/>
      <c r="C3" s="84"/>
      <c r="D3" s="84"/>
      <c r="E3" s="84"/>
      <c r="F3" s="84"/>
      <c r="G3" s="84"/>
      <c r="H3" s="84"/>
      <c r="I3" s="84"/>
      <c r="J3" s="84"/>
      <c r="K3" s="84"/>
    </row>
    <row r="4" spans="1:13" s="6" customFormat="1" ht="16.5" x14ac:dyDescent="0.3">
      <c r="A4" s="7" t="s">
        <v>26</v>
      </c>
      <c r="B4" s="8" t="str">
        <f>TT!$O$44</f>
        <v>X adjustment</v>
      </c>
      <c r="C4" s="8" t="str">
        <f>TT!$O$45</f>
        <v>Y adjustment</v>
      </c>
      <c r="D4" s="8" t="str">
        <f>TT!$O$46</f>
        <v>Z adjustment</v>
      </c>
      <c r="E4" s="8" t="str">
        <f>TT!$O$47</f>
        <v>X rotation</v>
      </c>
      <c r="F4" s="8" t="str">
        <f>TT!$O$48</f>
        <v>Y rotation</v>
      </c>
      <c r="G4" s="8" t="str">
        <f>TT!$O$49</f>
        <v>Z rotation</v>
      </c>
      <c r="H4" s="8" t="str">
        <f>TT!$O$50</f>
        <v>End Time</v>
      </c>
      <c r="I4" s="8" t="s">
        <v>34</v>
      </c>
      <c r="J4" s="8" t="s">
        <v>35</v>
      </c>
      <c r="K4" s="9" t="s">
        <v>36</v>
      </c>
    </row>
    <row r="5" spans="1:13" s="10" customFormat="1" ht="27" customHeight="1" thickBot="1" x14ac:dyDescent="0.3">
      <c r="A5" s="63">
        <v>0</v>
      </c>
      <c r="B5" s="11">
        <v>0</v>
      </c>
      <c r="C5" s="11">
        <v>0</v>
      </c>
      <c r="D5" s="11">
        <v>0</v>
      </c>
      <c r="E5" s="11">
        <v>0</v>
      </c>
      <c r="F5" s="11">
        <v>0</v>
      </c>
      <c r="G5" s="11">
        <v>0</v>
      </c>
      <c r="H5" s="11">
        <v>0</v>
      </c>
      <c r="I5" s="11"/>
      <c r="J5" s="11"/>
      <c r="K5" s="11"/>
    </row>
    <row r="6" spans="1:13" ht="33.6" customHeight="1" thickTop="1" x14ac:dyDescent="0.25">
      <c r="A6" s="85" t="s">
        <v>25</v>
      </c>
      <c r="B6" s="85"/>
      <c r="C6" s="85"/>
      <c r="D6" s="85"/>
      <c r="E6" s="85"/>
      <c r="F6" s="85"/>
      <c r="G6" s="85"/>
      <c r="H6" s="85"/>
      <c r="I6" s="85"/>
      <c r="J6" s="85"/>
      <c r="K6" s="85"/>
    </row>
    <row r="7" spans="1:13" s="6" customFormat="1" ht="16.5" x14ac:dyDescent="0.3">
      <c r="A7" s="12" t="str">
        <f>IF(A4="","",A4)</f>
        <v>Time</v>
      </c>
      <c r="B7" s="13" t="str">
        <f t="shared" ref="B7:H7" si="0">IF(B4="","",B4)</f>
        <v>X adjustment</v>
      </c>
      <c r="C7" s="13" t="str">
        <f t="shared" si="0"/>
        <v>Y adjustment</v>
      </c>
      <c r="D7" s="13" t="str">
        <f t="shared" si="0"/>
        <v>Z adjustment</v>
      </c>
      <c r="E7" s="13" t="str">
        <f t="shared" si="0"/>
        <v>X rotation</v>
      </c>
      <c r="F7" s="13" t="str">
        <f t="shared" si="0"/>
        <v>Y rotation</v>
      </c>
      <c r="G7" s="13" t="str">
        <f t="shared" si="0"/>
        <v>Z rotation</v>
      </c>
      <c r="H7" s="13" t="str">
        <f t="shared" si="0"/>
        <v>End Time</v>
      </c>
      <c r="I7" s="13" t="str">
        <f>IF(I4="","",I4)</f>
        <v>CH8</v>
      </c>
      <c r="J7" s="13" t="str">
        <f>IF(J4="","",J4)</f>
        <v>CH9</v>
      </c>
      <c r="K7" s="13" t="str">
        <f>IF(K4="","",K4)</f>
        <v>CH10</v>
      </c>
    </row>
    <row r="8" spans="1:13" s="5" customFormat="1" ht="19.5" customHeight="1" thickBot="1" x14ac:dyDescent="0.3">
      <c r="A8" s="65"/>
      <c r="B8" s="66"/>
      <c r="C8" s="66"/>
      <c r="D8" s="66"/>
      <c r="E8" s="66"/>
      <c r="F8" s="66"/>
      <c r="G8" s="66"/>
      <c r="H8" s="66"/>
      <c r="I8" s="66"/>
      <c r="J8" s="66"/>
      <c r="K8" s="67"/>
      <c r="L8" s="14" t="s">
        <v>37</v>
      </c>
    </row>
    <row r="9" spans="1:13" ht="15.95" customHeight="1" thickTop="1" x14ac:dyDescent="0.25">
      <c r="A9" s="64"/>
      <c r="B9" s="62"/>
      <c r="C9" s="62"/>
      <c r="D9" s="62"/>
      <c r="E9" s="62"/>
      <c r="F9" s="62"/>
      <c r="G9" s="62"/>
      <c r="H9" s="62"/>
      <c r="I9" s="62"/>
      <c r="J9" s="62"/>
      <c r="K9" s="62"/>
      <c r="L9" s="68"/>
      <c r="M9" s="41"/>
    </row>
  </sheetData>
  <protectedRanges>
    <protectedRange sqref="A4:H5" name="Range1"/>
  </protectedRanges>
  <mergeCells count="4">
    <mergeCell ref="A1:J1"/>
    <mergeCell ref="A2:J2"/>
    <mergeCell ref="A3:K3"/>
    <mergeCell ref="A6:K6"/>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1ABE3-B243-48B7-9C76-9753D4F2939D}">
  <sheetPr codeName="Sheet4"/>
  <dimension ref="A1:K6"/>
  <sheetViews>
    <sheetView workbookViewId="0">
      <selection activeCell="C5" sqref="C5"/>
    </sheetView>
  </sheetViews>
  <sheetFormatPr defaultColWidth="11.42578125" defaultRowHeight="16.5" x14ac:dyDescent="0.3"/>
  <cols>
    <col min="1" max="16384" width="11.42578125" style="15"/>
  </cols>
  <sheetData>
    <row r="1" spans="1:11" ht="39.950000000000003" customHeight="1" x14ac:dyDescent="0.55000000000000004">
      <c r="A1" s="86" t="str">
        <f>TT!$O$30</f>
        <v>Data Out (To Device)</v>
      </c>
      <c r="B1" s="86"/>
      <c r="C1" s="86"/>
      <c r="D1" s="86"/>
      <c r="E1" s="86"/>
      <c r="F1" s="86"/>
      <c r="G1" s="86"/>
      <c r="H1" s="86"/>
      <c r="I1" s="86"/>
      <c r="J1" s="86"/>
      <c r="K1" s="16" t="s">
        <v>21</v>
      </c>
    </row>
    <row r="2" spans="1:11" ht="39.950000000000003" customHeight="1" x14ac:dyDescent="0.3">
      <c r="A2" s="87" t="str">
        <f>TT!$O$31</f>
        <v>Data entered into the channels below will be sent to the currently connected device
as a comma-delimited string.</v>
      </c>
      <c r="B2" s="87"/>
      <c r="C2" s="87"/>
      <c r="D2" s="87"/>
      <c r="E2" s="87"/>
      <c r="F2" s="87"/>
      <c r="G2" s="87"/>
      <c r="H2" s="87"/>
      <c r="I2" s="87"/>
      <c r="J2" s="87"/>
    </row>
    <row r="3" spans="1:11" ht="17.45" customHeight="1" x14ac:dyDescent="0.3"/>
    <row r="4" spans="1:11" s="6" customFormat="1" x14ac:dyDescent="0.3">
      <c r="A4" s="17" t="s">
        <v>27</v>
      </c>
      <c r="B4" s="18" t="s">
        <v>28</v>
      </c>
      <c r="C4" s="18" t="s">
        <v>29</v>
      </c>
      <c r="D4" s="18" t="s">
        <v>30</v>
      </c>
      <c r="E4" s="18" t="s">
        <v>31</v>
      </c>
      <c r="F4" s="18" t="s">
        <v>32</v>
      </c>
      <c r="G4" s="18" t="s">
        <v>33</v>
      </c>
      <c r="H4" s="18" t="s">
        <v>34</v>
      </c>
      <c r="I4" s="18" t="s">
        <v>35</v>
      </c>
      <c r="J4" s="18" t="s">
        <v>36</v>
      </c>
    </row>
    <row r="5" spans="1:11" s="20" customFormat="1" ht="27" customHeight="1" thickBot="1" x14ac:dyDescent="0.35">
      <c r="A5" s="19">
        <f>'XYZ Rotation Backend'!C$5</f>
        <v>0</v>
      </c>
      <c r="B5" s="19">
        <f>'XYZ Rotation Backend'!D$5</f>
        <v>0</v>
      </c>
      <c r="C5" s="19">
        <f>'XYZ Rotation Backend'!E$5</f>
        <v>0</v>
      </c>
      <c r="D5" s="19"/>
      <c r="E5" s="19"/>
      <c r="F5" s="19"/>
      <c r="G5" s="19"/>
      <c r="H5" s="19"/>
      <c r="I5" s="19"/>
      <c r="J5" s="19"/>
    </row>
    <row r="6" spans="1:11" ht="17.25" thickTop="1" x14ac:dyDescent="0.3"/>
  </sheetData>
  <mergeCells count="2">
    <mergeCell ref="A1:J1"/>
    <mergeCell ref="A2:J2"/>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F6519-7A3B-4CD2-AE00-DBC8B80391F9}">
  <sheetPr codeName="Sheet5"/>
  <dimension ref="A1:H12"/>
  <sheetViews>
    <sheetView workbookViewId="0">
      <selection activeCell="K7" sqref="K7"/>
    </sheetView>
  </sheetViews>
  <sheetFormatPr defaultColWidth="8.7109375" defaultRowHeight="16.5" x14ac:dyDescent="0.3"/>
  <cols>
    <col min="1" max="1" width="23.5703125" style="21" customWidth="1"/>
    <col min="2" max="2" width="0.140625" style="21" customWidth="1"/>
    <col min="3" max="3" width="20.5703125" style="21" customWidth="1"/>
    <col min="4" max="16384" width="8.7109375" style="21"/>
  </cols>
  <sheetData>
    <row r="1" spans="1:8" ht="39.950000000000003" customHeight="1" x14ac:dyDescent="0.55000000000000004">
      <c r="A1" s="88" t="str">
        <f>TT!$O$18</f>
        <v>Workbook Settings</v>
      </c>
      <c r="B1" s="88"/>
      <c r="C1" s="88"/>
      <c r="D1" s="88"/>
      <c r="E1" s="88"/>
      <c r="F1" s="88"/>
      <c r="G1" s="88"/>
      <c r="H1" s="22" t="s">
        <v>21</v>
      </c>
    </row>
    <row r="2" spans="1:8" ht="48.95" customHeight="1" x14ac:dyDescent="0.3">
      <c r="A2" s="89" t="str">
        <f>TT!$O$19</f>
        <v>Settings below will affect how data is read into the current workbook from data sources. Clear a field's contents to revert to its default setting.</v>
      </c>
      <c r="B2" s="89"/>
      <c r="C2" s="89"/>
      <c r="D2" s="89"/>
      <c r="E2" s="89"/>
      <c r="F2" s="89"/>
      <c r="G2" s="89"/>
    </row>
    <row r="3" spans="1:8" ht="4.5" customHeight="1" x14ac:dyDescent="0.3"/>
    <row r="4" spans="1:8" ht="24" customHeight="1" x14ac:dyDescent="0.3">
      <c r="A4" s="23" t="str">
        <f>TT!$O$20</f>
        <v>Data interval (ms):</v>
      </c>
      <c r="B4" s="24" t="s">
        <v>42</v>
      </c>
      <c r="C4" s="25"/>
    </row>
    <row r="5" spans="1:8" ht="4.5" customHeight="1" x14ac:dyDescent="0.3"/>
    <row r="6" spans="1:8" ht="24" customHeight="1" x14ac:dyDescent="0.3">
      <c r="A6" s="23" t="str">
        <f>TT!$O$21</f>
        <v>Data rows:</v>
      </c>
      <c r="B6" s="24" t="s">
        <v>43</v>
      </c>
      <c r="C6" s="25">
        <v>1</v>
      </c>
    </row>
    <row r="7" spans="1:8" ht="4.5" customHeight="1" x14ac:dyDescent="0.3"/>
    <row r="8" spans="1:8" ht="24" customHeight="1" x14ac:dyDescent="0.3">
      <c r="A8" s="23" t="str">
        <f>TT!$O$22</f>
        <v>Data channels:</v>
      </c>
      <c r="B8" s="24" t="s">
        <v>44</v>
      </c>
      <c r="C8" s="25"/>
    </row>
    <row r="9" spans="1:8" ht="4.5" customHeight="1" x14ac:dyDescent="0.3"/>
    <row r="10" spans="1:8" ht="24" customHeight="1" x14ac:dyDescent="0.3">
      <c r="A10" s="23" t="str">
        <f>TT!$O$23</f>
        <v>Data Orientation:</v>
      </c>
      <c r="B10" s="24" t="s">
        <v>45</v>
      </c>
      <c r="C10" s="25"/>
    </row>
    <row r="12" spans="1:8" ht="48.75" customHeight="1" x14ac:dyDescent="0.3">
      <c r="A12" s="90" t="str">
        <f>TT!$O$24</f>
        <v>WARNING: Changing settings may result in the loss of content and/or custom formatting in the Data In and Data Out worksheets. Always save before changing values.</v>
      </c>
      <c r="B12" s="90"/>
      <c r="C12" s="90"/>
      <c r="D12" s="90"/>
      <c r="E12" s="90"/>
      <c r="F12" s="90"/>
      <c r="G12" s="90"/>
    </row>
  </sheetData>
  <protectedRanges>
    <protectedRange sqref="C4 C6 C8 C10" name="Range1"/>
  </protectedRanges>
  <mergeCells count="3">
    <mergeCell ref="A1:G1"/>
    <mergeCell ref="A2:G2"/>
    <mergeCell ref="A12:G12"/>
  </mergeCells>
  <dataValidations count="4">
    <dataValidation allowBlank="1" showInputMessage="1" prompt="Minimum duration between data readings, in milliseconds._x000a_(10 to 10000)" sqref="C4" xr:uid="{4E8117B3-4528-4C99-AD92-6ACBA5104CA4}"/>
    <dataValidation allowBlank="1" showInputMessage="1" prompt="Number of historical data rows to keep._x000a_(1 to 500)" sqref="C6" xr:uid="{60A387AE-B920-4FED-8E54-888A7A0D85A5}"/>
    <dataValidation allowBlank="1" showInputMessage="1" prompt="Number of data columns to read/write._x000a_(1 to 100)" sqref="C8" xr:uid="{773CC5D8-0DAC-4B06-8EF5-394BDE7DB527}"/>
    <dataValidation type="list" errorStyle="information" allowBlank="1" showInputMessage="1" prompt="Sort historical data by newest first or last." sqref="C10" xr:uid="{83B8A1A2-B571-4BC9-A862-CE3EDEB10B79}">
      <formula1>"Newest first,Newest last"</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2C29A36256D2A4E921863604CED27BA" ma:contentTypeVersion="19" ma:contentTypeDescription="Create a new document." ma:contentTypeScope="" ma:versionID="0fe2b3ddd114eda1a28a3a77a02e6531">
  <xsd:schema xmlns:xsd="http://www.w3.org/2001/XMLSchema" xmlns:xs="http://www.w3.org/2001/XMLSchema" xmlns:p="http://schemas.microsoft.com/office/2006/metadata/properties" xmlns:ns1="http://schemas.microsoft.com/sharepoint/v3" xmlns:ns2="986dda66-e543-4de3-b77d-6be62524f3cf" xmlns:ns3="0a77edb2-677a-4e25-af34-ce22fd66382b" xmlns:ns4="230e9df3-be65-4c73-a93b-d1236ebd677e" targetNamespace="http://schemas.microsoft.com/office/2006/metadata/properties" ma:root="true" ma:fieldsID="0e385ce6076c26668aab9b06d30d60cf" ns1:_="" ns2:_="" ns3:_="" ns4:_="">
    <xsd:import namespace="http://schemas.microsoft.com/sharepoint/v3"/>
    <xsd:import namespace="986dda66-e543-4de3-b77d-6be62524f3cf"/>
    <xsd:import namespace="0a77edb2-677a-4e25-af34-ce22fd66382b"/>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Location" minOccurs="0"/>
                <xsd:element ref="ns2:MediaServiceEventHashCode" minOccurs="0"/>
                <xsd:element ref="ns2:MediaServiceGenerationTime" minOccurs="0"/>
                <xsd:element ref="ns2:MediaServiceAutoKeyPoints" minOccurs="0"/>
                <xsd:element ref="ns2:MediaServiceKeyPoint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7" nillable="true" ma:displayName="Unified Compliance Policy Properties" ma:hidden="true" ma:internalName="_ip_UnifiedCompliancePolicyProperties">
      <xsd:simpleType>
        <xsd:restriction base="dms:Note"/>
      </xsd:simpleType>
    </xsd:element>
    <xsd:element name="_ip_UnifiedCompliancePolicyUIAction" ma:index="18"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86dda66-e543-4de3-b77d-6be62524f3c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OCR" ma:index="12" nillable="true" ma:displayName="MediaServiceOCR" ma:internalName="MediaServiceOCR" ma:readOnly="true">
      <xsd:simpleType>
        <xsd:restriction base="dms:Note">
          <xsd:maxLength value="255"/>
        </xsd:restriction>
      </xsd:simpleType>
    </xsd:element>
    <xsd:element name="MediaServiceLocation" ma:index="19" nillable="true" ma:displayName="MediaServiceLocation" ma:internalName="MediaServiceLocation"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AutoKeyPoints" ma:index="22" nillable="true" ma:displayName="MediaServiceAutoKeyPoints" ma:hidden="true" ma:internalName="MediaServiceAutoKeyPoints" ma:readOnly="true">
      <xsd:simpleType>
        <xsd:restriction base="dms:Note"/>
      </xsd:simpleType>
    </xsd:element>
    <xsd:element name="MediaServiceKeyPoints" ma:index="23" nillable="true" ma:displayName="KeyPoints" ma:description="" ma:internalName="MediaServiceKeyPoints" ma:readOnly="false">
      <xsd:simpleType>
        <xsd:restriction base="dms:Note">
          <xsd:maxLength value="255"/>
        </xsd:restriction>
      </xsd:simpleType>
    </xsd:element>
    <xsd:element name="lcf76f155ced4ddcb4097134ff3c332f" ma:index="25" nillable="true" ma:taxonomy="true" ma:internalName="lcf76f155ced4ddcb4097134ff3c332f" ma:taxonomyFieldName="MediaServiceAITags" ma:displayName="Image Tags" ma:readOnly="false" ma:fieldId="{5cf76f15-5ced-4ddc-b409-7134ff3c332f}" ma:taxonomyMulti="true" ma:sspId="e385fb40-52d4-4fae-9c5b-3e8ff8a5878e" ma:termSetId="09814cd3-568e-4e90-9814-8d621ff8fb84"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0a77edb2-677a-4e25-af34-ce22fd6638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LastSharedByUser" ma:index="15" nillable="true" ma:displayName="Last Shared By User" ma:hidden="true" ma:internalName="LastSharedByUser" ma:readOnly="true">
      <xsd:simpleType>
        <xsd:restriction base="dms:Note"/>
      </xsd:simpleType>
    </xsd:element>
    <xsd:element name="LastSharedByTime" ma:index="16" nillable="true" ma:displayName="Last Shared By Time" ma:hidden="true"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6" nillable="true" ma:displayName="Taxonomy Catch All Column" ma:hidden="true" ma:list="{f4ad43a6-879f-4f70-a653-637867cba4c5}" ma:internalName="TaxCatchAll" ma:showField="CatchAllData" ma:web="0a77edb2-677a-4e25-af34-ce22fd6638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Properties xmlns="http://schemas.microsoft.com/sharepoint/v3" xsi:nil="true"/>
    <_ip_UnifiedCompliancePolicyUIAction xmlns="http://schemas.microsoft.com/sharepoint/v3" xsi:nil="true"/>
    <MediaServiceKeyPoints xmlns="986dda66-e543-4de3-b77d-6be62524f3cf" xsi:nil="true"/>
    <lcf76f155ced4ddcb4097134ff3c332f xmlns="986dda66-e543-4de3-b77d-6be62524f3cf">
      <Terms xmlns="http://schemas.microsoft.com/office/infopath/2007/PartnerControls"/>
    </lcf76f155ced4ddcb4097134ff3c332f>
    <TaxCatchAll xmlns="230e9df3-be65-4c73-a93b-d1236ebd677e"/>
  </documentManagement>
</p:properties>
</file>

<file path=customXml/itemProps1.xml><?xml version="1.0" encoding="utf-8"?>
<ds:datastoreItem xmlns:ds="http://schemas.openxmlformats.org/officeDocument/2006/customXml" ds:itemID="{6879D1AA-9BEB-46D7-94E7-7868BAF12FF1}">
  <ds:schemaRefs>
    <ds:schemaRef ds:uri="http://schemas.microsoft.com/sharepoint/v3/contenttype/forms"/>
  </ds:schemaRefs>
</ds:datastoreItem>
</file>

<file path=customXml/itemProps2.xml><?xml version="1.0" encoding="utf-8"?>
<ds:datastoreItem xmlns:ds="http://schemas.openxmlformats.org/officeDocument/2006/customXml" ds:itemID="{EB9A9575-3F03-46FB-BE1D-BB77C4340CD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6dda66-e543-4de3-b77d-6be62524f3cf"/>
    <ds:schemaRef ds:uri="0a77edb2-677a-4e25-af34-ce22fd66382b"/>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E28DEC5-319C-4718-86EE-48EABE5FBB95}">
  <ds:schemaRefs>
    <ds:schemaRef ds:uri="http://www.w3.org/XML/1998/namespace"/>
    <ds:schemaRef ds:uri="0a77edb2-677a-4e25-af34-ce22fd66382b"/>
    <ds:schemaRef ds:uri="http://purl.org/dc/elements/1.1/"/>
    <ds:schemaRef ds:uri="http://schemas.microsoft.com/office/2006/documentManagement/types"/>
    <ds:schemaRef ds:uri="230e9df3-be65-4c73-a93b-d1236ebd677e"/>
    <ds:schemaRef ds:uri="986dda66-e543-4de3-b77d-6be62524f3cf"/>
    <ds:schemaRef ds:uri="http://schemas.microsoft.com/office/infopath/2007/PartnerControls"/>
    <ds:schemaRef ds:uri="http://purl.org/dc/terms/"/>
    <ds:schemaRef ds:uri="http://schemas.openxmlformats.org/package/2006/metadata/core-properties"/>
    <ds:schemaRef ds:uri="http://schemas.microsoft.com/sharepoint/v3"/>
    <ds:schemaRef ds:uri="http://schemas.microsoft.com/office/2006/metadata/properties"/>
    <ds:schemaRef ds:uri="http://purl.org/dc/dcmitype/"/>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XYZ Rotation Backend</vt:lpstr>
      <vt:lpstr>Instructions</vt:lpstr>
      <vt:lpstr>Polygon Rotation</vt:lpstr>
      <vt:lpstr>TT</vt:lpstr>
      <vt:lpstr>3-axis rotation</vt:lpstr>
      <vt:lpstr>Data In</vt:lpstr>
      <vt:lpstr>Data Out</vt:lpstr>
      <vt:lpstr>Settings</vt:lpstr>
      <vt:lpstr>DataChannelCountDefault</vt:lpstr>
      <vt:lpstr>DataChannelCountSetting</vt:lpstr>
      <vt:lpstr>DataDelayDefault</vt:lpstr>
      <vt:lpstr>DataDelaySetting</vt:lpstr>
      <vt:lpstr>DataOrientationDefault</vt:lpstr>
      <vt:lpstr>DataOrientationSetting</vt:lpstr>
      <vt:lpstr>DataRowCountDefault</vt:lpstr>
      <vt:lpstr>DataRowCountSetting</vt:lpstr>
      <vt:lpstr>LanguageSelect</vt:lpstr>
      <vt:lpstr>Rotate_X</vt:lpstr>
      <vt:lpstr>Rotate_Y</vt:lpstr>
      <vt:lpstr>Rotate_Z</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2021-07-16T22:36:59Z</dcterms:created>
  <dcterms:modified xsi:type="dcterms:W3CDTF">2021-07-17T06:43:01Z</dcterms:modified>
</cp:coreProperties>
</file>